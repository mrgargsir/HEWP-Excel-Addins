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gar\Downloads\"/>
    </mc:Choice>
  </mc:AlternateContent>
  <xr:revisionPtr revIDLastSave="0" documentId="13_ncr:1_{72431511-5513-4702-B260-5FBE1E0CFCC4}" xr6:coauthVersionLast="47" xr6:coauthVersionMax="47" xr10:uidLastSave="{00000000-0000-0000-0000-000000000000}"/>
  <bookViews>
    <workbookView xWindow="-108" yWindow="-108" windowWidth="23256" windowHeight="12456" xr2:uid="{2A4202E4-2B81-41BC-9755-D67469360E06}"/>
  </bookViews>
  <sheets>
    <sheet name="Sc choupal complete "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 l="1"/>
  <c r="A11" i="2" s="1"/>
  <c r="A19" i="2" s="1"/>
  <c r="A47" i="2" s="1"/>
  <c r="K8" i="2"/>
  <c r="K9" i="2"/>
  <c r="K16" i="2"/>
  <c r="K17" i="2"/>
  <c r="K44" i="2"/>
  <c r="K45" i="2"/>
  <c r="K64" i="2"/>
  <c r="K65" i="2"/>
  <c r="K72" i="2"/>
  <c r="K73" i="2"/>
  <c r="K88" i="2"/>
  <c r="K89" i="2"/>
  <c r="K94" i="2"/>
  <c r="K95" i="2"/>
  <c r="K105" i="2"/>
  <c r="K106" i="2"/>
  <c r="K112" i="2"/>
  <c r="K113" i="2"/>
  <c r="K117" i="2"/>
  <c r="K118" i="2"/>
  <c r="K123" i="2"/>
  <c r="K124" i="2"/>
  <c r="K129" i="2"/>
  <c r="K130" i="2"/>
  <c r="K137" i="2"/>
  <c r="K138" i="2"/>
  <c r="K144" i="2"/>
  <c r="K145" i="2"/>
  <c r="K150" i="2"/>
  <c r="K151" i="2"/>
  <c r="K161" i="2"/>
  <c r="K162" i="2"/>
  <c r="K181" i="2"/>
  <c r="K182" i="2"/>
  <c r="K190" i="2"/>
  <c r="K191" i="2"/>
  <c r="K196" i="2"/>
  <c r="K197" i="2"/>
  <c r="K211" i="2"/>
  <c r="K212" i="2"/>
  <c r="K216" i="2"/>
  <c r="K217" i="2"/>
  <c r="K223" i="2"/>
  <c r="K224" i="2"/>
  <c r="K230" i="2"/>
  <c r="K231" i="2"/>
  <c r="K236" i="2"/>
  <c r="K237" i="2"/>
  <c r="K241" i="2"/>
  <c r="K242" i="2"/>
  <c r="K246" i="2"/>
  <c r="K247" i="2"/>
  <c r="K252" i="2"/>
  <c r="K253" i="2"/>
  <c r="K257" i="2"/>
  <c r="K258" i="2"/>
  <c r="K262" i="2"/>
  <c r="K263" i="2"/>
  <c r="K267" i="2"/>
  <c r="K268" i="2"/>
  <c r="K273" i="2"/>
  <c r="K274" i="2"/>
  <c r="K282" i="2"/>
  <c r="K283" i="2"/>
  <c r="K289" i="2"/>
  <c r="K290" i="2"/>
  <c r="K318" i="2"/>
  <c r="K319" i="2"/>
  <c r="K323" i="2"/>
  <c r="K324" i="2"/>
  <c r="K328" i="2"/>
  <c r="K329" i="2"/>
  <c r="K334" i="2"/>
  <c r="K335" i="2"/>
  <c r="K339" i="2"/>
  <c r="K340" i="2"/>
  <c r="K344" i="2"/>
  <c r="K345" i="2"/>
  <c r="K349" i="2"/>
  <c r="K350" i="2"/>
  <c r="K354" i="2"/>
  <c r="K355" i="2"/>
  <c r="K359" i="2"/>
  <c r="K360" i="2"/>
  <c r="K364" i="2"/>
  <c r="K365" i="2"/>
  <c r="K373" i="2"/>
  <c r="K374" i="2"/>
  <c r="K384" i="2"/>
  <c r="K385" i="2"/>
  <c r="K389" i="2"/>
  <c r="K390" i="2"/>
  <c r="K395" i="2"/>
  <c r="K396" i="2"/>
  <c r="K402" i="2"/>
  <c r="K403" i="2"/>
  <c r="H6" i="2"/>
  <c r="H5" i="2"/>
  <c r="H4" i="2"/>
  <c r="H14" i="2"/>
  <c r="H13" i="2"/>
  <c r="H12" i="2"/>
  <c r="H43" i="2"/>
  <c r="H42" i="2"/>
  <c r="H41" i="2"/>
  <c r="H40" i="2"/>
  <c r="H34" i="2"/>
  <c r="H33" i="2"/>
  <c r="H32" i="2"/>
  <c r="H31" i="2"/>
  <c r="H30" i="2"/>
  <c r="H29" i="2"/>
  <c r="H28" i="2"/>
  <c r="H27" i="2"/>
  <c r="H26" i="2"/>
  <c r="H25" i="2"/>
  <c r="H24" i="2"/>
  <c r="H23" i="2"/>
  <c r="H22" i="2"/>
  <c r="H21" i="2"/>
  <c r="H20" i="2"/>
  <c r="H53" i="2"/>
  <c r="H52" i="2"/>
  <c r="H51" i="2"/>
  <c r="H71" i="2"/>
  <c r="H70" i="2"/>
  <c r="H69" i="2"/>
  <c r="H68" i="2"/>
  <c r="H87" i="2"/>
  <c r="H85" i="2"/>
  <c r="H84" i="2"/>
  <c r="H79" i="2"/>
  <c r="H78" i="2"/>
  <c r="H77" i="2"/>
  <c r="H76" i="2"/>
  <c r="H93" i="2"/>
  <c r="H101" i="2"/>
  <c r="H100" i="2"/>
  <c r="H111" i="2"/>
  <c r="H110" i="2"/>
  <c r="H121" i="2"/>
  <c r="H123" i="2" s="1"/>
  <c r="H124" i="2" s="1"/>
  <c r="H128" i="2"/>
  <c r="H127" i="2"/>
  <c r="H129" i="2" s="1"/>
  <c r="H130" i="2" s="1"/>
  <c r="L130" i="2" s="1"/>
  <c r="H136" i="2"/>
  <c r="H134" i="2"/>
  <c r="H133" i="2"/>
  <c r="H143" i="2"/>
  <c r="H142" i="2"/>
  <c r="H141" i="2"/>
  <c r="H144" i="2" s="1"/>
  <c r="H145" i="2" s="1"/>
  <c r="L145" i="2" s="1"/>
  <c r="H159" i="2"/>
  <c r="H155" i="2"/>
  <c r="H180" i="2"/>
  <c r="H179" i="2"/>
  <c r="H178" i="2"/>
  <c r="H177" i="2"/>
  <c r="H176" i="2"/>
  <c r="H175" i="2"/>
  <c r="H171" i="2"/>
  <c r="H170" i="2"/>
  <c r="H169" i="2"/>
  <c r="H168" i="2"/>
  <c r="H167" i="2"/>
  <c r="H166" i="2"/>
  <c r="H165" i="2"/>
  <c r="H186" i="2"/>
  <c r="H185" i="2"/>
  <c r="H195" i="2"/>
  <c r="H194" i="2"/>
  <c r="H210" i="2"/>
  <c r="H209" i="2"/>
  <c r="H208" i="2"/>
  <c r="H206" i="2"/>
  <c r="H205" i="2"/>
  <c r="H204" i="2"/>
  <c r="H203" i="2"/>
  <c r="H202" i="2"/>
  <c r="H201" i="2"/>
  <c r="H200" i="2"/>
  <c r="H222" i="2"/>
  <c r="H229" i="2"/>
  <c r="H228" i="2"/>
  <c r="H227" i="2"/>
  <c r="H230" i="2" s="1"/>
  <c r="H231" i="2" s="1"/>
  <c r="L231" i="2" s="1"/>
  <c r="H235" i="2"/>
  <c r="H234" i="2"/>
  <c r="H236" i="2" s="1"/>
  <c r="H237" i="2" s="1"/>
  <c r="L237" i="2" s="1"/>
  <c r="H240" i="2"/>
  <c r="H241" i="2" s="1"/>
  <c r="H242" i="2" s="1"/>
  <c r="L242" i="2" s="1"/>
  <c r="H250" i="2"/>
  <c r="H252" i="2" s="1"/>
  <c r="H253" i="2" s="1"/>
  <c r="L253" i="2" s="1"/>
  <c r="H256" i="2"/>
  <c r="H257" i="2" s="1"/>
  <c r="H258" i="2" s="1"/>
  <c r="L258" i="2" s="1"/>
  <c r="H261" i="2"/>
  <c r="H262" i="2" s="1"/>
  <c r="H263" i="2" s="1"/>
  <c r="H266" i="2"/>
  <c r="H267" i="2" s="1"/>
  <c r="H268" i="2" s="1"/>
  <c r="L268" i="2" s="1"/>
  <c r="H281" i="2"/>
  <c r="H280" i="2"/>
  <c r="H279" i="2"/>
  <c r="H311" i="2"/>
  <c r="H308" i="2"/>
  <c r="H307" i="2"/>
  <c r="H300" i="2"/>
  <c r="H327" i="2"/>
  <c r="H328" i="2" s="1"/>
  <c r="H329" i="2" s="1"/>
  <c r="L329" i="2" s="1"/>
  <c r="H333" i="2"/>
  <c r="H332" i="2"/>
  <c r="H334" i="2" s="1"/>
  <c r="H335" i="2" s="1"/>
  <c r="H338" i="2"/>
  <c r="H339" i="2" s="1"/>
  <c r="H340" i="2" s="1"/>
  <c r="H343" i="2"/>
  <c r="H344" i="2" s="1"/>
  <c r="H345" i="2" s="1"/>
  <c r="L345" i="2" s="1"/>
  <c r="H348" i="2"/>
  <c r="H349" i="2" s="1"/>
  <c r="H350" i="2" s="1"/>
  <c r="L350" i="2" s="1"/>
  <c r="H353" i="2"/>
  <c r="H354" i="2" s="1"/>
  <c r="H355" i="2" s="1"/>
  <c r="L355" i="2" s="1"/>
  <c r="H358" i="2"/>
  <c r="H359" i="2" s="1"/>
  <c r="H360" i="2" s="1"/>
  <c r="L360" i="2" s="1"/>
  <c r="H363" i="2"/>
  <c r="H364" i="2" s="1"/>
  <c r="H365" i="2" s="1"/>
  <c r="H372" i="2"/>
  <c r="H371" i="2"/>
  <c r="H394" i="2"/>
  <c r="H401" i="2"/>
  <c r="H400" i="2"/>
  <c r="E399" i="2"/>
  <c r="F383" i="2"/>
  <c r="E383" i="2"/>
  <c r="F382" i="2"/>
  <c r="H382" i="2" s="1"/>
  <c r="F381" i="2"/>
  <c r="H381" i="2" s="1"/>
  <c r="F380" i="2"/>
  <c r="H380" i="2" s="1"/>
  <c r="F379" i="2"/>
  <c r="H379" i="2" s="1"/>
  <c r="F378" i="2"/>
  <c r="H378" i="2" s="1"/>
  <c r="F377" i="2"/>
  <c r="H377" i="2" s="1"/>
  <c r="F370" i="2"/>
  <c r="H370" i="2" s="1"/>
  <c r="F369" i="2"/>
  <c r="E369" i="2"/>
  <c r="F368" i="2"/>
  <c r="E368" i="2"/>
  <c r="E317" i="2"/>
  <c r="H317" i="2" s="1"/>
  <c r="E316" i="2"/>
  <c r="H316" i="2" s="1"/>
  <c r="E315" i="2"/>
  <c r="H315" i="2" s="1"/>
  <c r="G314" i="2"/>
  <c r="E314" i="2"/>
  <c r="E313" i="2"/>
  <c r="H313" i="2" s="1"/>
  <c r="E312" i="2"/>
  <c r="H312" i="2" s="1"/>
  <c r="E310" i="2"/>
  <c r="H310" i="2" s="1"/>
  <c r="G309" i="2"/>
  <c r="E309" i="2"/>
  <c r="E306" i="2"/>
  <c r="H306" i="2" s="1"/>
  <c r="E305" i="2"/>
  <c r="H305" i="2" s="1"/>
  <c r="E304" i="2"/>
  <c r="H304" i="2" s="1"/>
  <c r="E303" i="2"/>
  <c r="H303" i="2" s="1"/>
  <c r="E302" i="2"/>
  <c r="H302" i="2" s="1"/>
  <c r="E301" i="2"/>
  <c r="H301" i="2" s="1"/>
  <c r="G299" i="2"/>
  <c r="H299" i="2" s="1"/>
  <c r="G298" i="2"/>
  <c r="H298" i="2" s="1"/>
  <c r="G297" i="2"/>
  <c r="E297" i="2"/>
  <c r="G296" i="2"/>
  <c r="E296" i="2"/>
  <c r="G295" i="2"/>
  <c r="H295" i="2" s="1"/>
  <c r="G294" i="2"/>
  <c r="H294" i="2" s="1"/>
  <c r="G293" i="2"/>
  <c r="H293" i="2" s="1"/>
  <c r="D288" i="2"/>
  <c r="H288" i="2" s="1"/>
  <c r="D287" i="2"/>
  <c r="H287" i="2" s="1"/>
  <c r="D278" i="2"/>
  <c r="H278" i="2" s="1"/>
  <c r="D277" i="2"/>
  <c r="H277" i="2" s="1"/>
  <c r="D272" i="2"/>
  <c r="H272" i="2" s="1"/>
  <c r="D271" i="2"/>
  <c r="D251" i="2"/>
  <c r="H251" i="2" s="1"/>
  <c r="D245" i="2"/>
  <c r="H245" i="2" s="1"/>
  <c r="H246" i="2" s="1"/>
  <c r="H247" i="2" s="1"/>
  <c r="L247" i="2" s="1"/>
  <c r="D221" i="2"/>
  <c r="H221" i="2" s="1"/>
  <c r="D220" i="2"/>
  <c r="H220" i="2" s="1"/>
  <c r="G215" i="2"/>
  <c r="E215" i="2"/>
  <c r="E207" i="2"/>
  <c r="H207" i="2" s="1"/>
  <c r="F189" i="2"/>
  <c r="E189" i="2"/>
  <c r="H189" i="2" s="1"/>
  <c r="E188" i="2"/>
  <c r="H188" i="2" s="1"/>
  <c r="E187" i="2"/>
  <c r="H187" i="2" s="1"/>
  <c r="D174" i="2"/>
  <c r="H174" i="2" s="1"/>
  <c r="E173" i="2"/>
  <c r="H173" i="2" s="1"/>
  <c r="E172" i="2"/>
  <c r="H172" i="2" s="1"/>
  <c r="E160" i="2"/>
  <c r="H160" i="2" s="1"/>
  <c r="E158" i="2"/>
  <c r="H158" i="2" s="1"/>
  <c r="E157" i="2"/>
  <c r="H157" i="2" s="1"/>
  <c r="E156" i="2"/>
  <c r="H156" i="2" s="1"/>
  <c r="E149" i="2"/>
  <c r="H149" i="2" s="1"/>
  <c r="E148" i="2"/>
  <c r="H148" i="2" s="1"/>
  <c r="F135" i="2"/>
  <c r="E135" i="2"/>
  <c r="E122" i="2"/>
  <c r="H122" i="2" s="1"/>
  <c r="F116" i="2"/>
  <c r="H116" i="2" s="1"/>
  <c r="H117" i="2" s="1"/>
  <c r="H118" i="2" s="1"/>
  <c r="L118" i="2" s="1"/>
  <c r="F109" i="2"/>
  <c r="H109" i="2" s="1"/>
  <c r="E99" i="2"/>
  <c r="H99" i="2" s="1"/>
  <c r="D92" i="2"/>
  <c r="H92" i="2" s="1"/>
  <c r="H94" i="2" s="1"/>
  <c r="H95" i="2" s="1"/>
  <c r="L95" i="2" s="1"/>
  <c r="E86" i="2"/>
  <c r="H86" i="2" s="1"/>
  <c r="D83" i="2"/>
  <c r="H83" i="2" s="1"/>
  <c r="E82" i="2"/>
  <c r="H82" i="2" s="1"/>
  <c r="E81" i="2"/>
  <c r="H81" i="2" s="1"/>
  <c r="E80" i="2"/>
  <c r="H80" i="2" s="1"/>
  <c r="K63" i="2"/>
  <c r="F60" i="2"/>
  <c r="H60" i="2" s="1"/>
  <c r="F59" i="2"/>
  <c r="H59" i="2" s="1"/>
  <c r="H61" i="2" s="1"/>
  <c r="H62" i="2" s="1"/>
  <c r="H63" i="2" s="1"/>
  <c r="F50" i="2"/>
  <c r="H50" i="2" s="1"/>
  <c r="D49" i="2"/>
  <c r="H49" i="2" s="1"/>
  <c r="E39" i="2"/>
  <c r="H39" i="2" s="1"/>
  <c r="E38" i="2"/>
  <c r="H38" i="2" s="1"/>
  <c r="E37" i="2"/>
  <c r="H37" i="2" s="1"/>
  <c r="E36" i="2"/>
  <c r="H36" i="2" s="1"/>
  <c r="E35" i="2"/>
  <c r="H35" i="2" s="1"/>
  <c r="E15" i="2"/>
  <c r="H15" i="2" s="1"/>
  <c r="E7" i="2"/>
  <c r="H7" i="2" s="1"/>
  <c r="H196" i="2" l="1"/>
  <c r="H197" i="2" s="1"/>
  <c r="L197" i="2" s="1"/>
  <c r="H211" i="2"/>
  <c r="H212" i="2" s="1"/>
  <c r="L212" i="2" s="1"/>
  <c r="H112" i="2"/>
  <c r="H113" i="2" s="1"/>
  <c r="L113" i="2" s="1"/>
  <c r="A67" i="2"/>
  <c r="H16" i="2"/>
  <c r="H17" i="2" s="1"/>
  <c r="L17" i="2" s="1"/>
  <c r="H54" i="2"/>
  <c r="H55" i="2" s="1"/>
  <c r="H56" i="2" s="1"/>
  <c r="H65" i="2" s="1"/>
  <c r="L65" i="2" s="1"/>
  <c r="H181" i="2"/>
  <c r="H182" i="2" s="1"/>
  <c r="L182" i="2" s="1"/>
  <c r="H88" i="2"/>
  <c r="H89" i="2" s="1"/>
  <c r="L89" i="2" s="1"/>
  <c r="H150" i="2"/>
  <c r="H151" i="2" s="1"/>
  <c r="L151" i="2" s="1"/>
  <c r="H223" i="2"/>
  <c r="H224" i="2" s="1"/>
  <c r="L224" i="2" s="1"/>
  <c r="H8" i="2"/>
  <c r="H9" i="2" s="1"/>
  <c r="L9" i="2" s="1"/>
  <c r="H72" i="2"/>
  <c r="H73" i="2" s="1"/>
  <c r="L73" i="2" s="1"/>
  <c r="L263" i="2"/>
  <c r="H282" i="2"/>
  <c r="H283" i="2" s="1"/>
  <c r="L283" i="2" s="1"/>
  <c r="L365" i="2"/>
  <c r="L124" i="2"/>
  <c r="H102" i="2"/>
  <c r="H103" i="2" s="1"/>
  <c r="H104" i="2" s="1"/>
  <c r="H106" i="2" s="1"/>
  <c r="L106" i="2" s="1"/>
  <c r="H44" i="2"/>
  <c r="H45" i="2" s="1"/>
  <c r="L45" i="2" s="1"/>
  <c r="L340" i="2"/>
  <c r="L335" i="2"/>
  <c r="H161" i="2"/>
  <c r="H162" i="2" s="1"/>
  <c r="L162" i="2" s="1"/>
  <c r="H190" i="2"/>
  <c r="H191" i="2" s="1"/>
  <c r="L191" i="2" s="1"/>
  <c r="H369" i="2"/>
  <c r="H309" i="2"/>
  <c r="H215" i="2"/>
  <c r="H216" i="2" s="1"/>
  <c r="H217" i="2" s="1"/>
  <c r="L217" i="2" s="1"/>
  <c r="H383" i="2"/>
  <c r="H384" i="2" s="1"/>
  <c r="H385" i="2" s="1"/>
  <c r="L385" i="2" s="1"/>
  <c r="H368" i="2"/>
  <c r="H373" i="2" s="1"/>
  <c r="H374" i="2" s="1"/>
  <c r="L374" i="2" s="1"/>
  <c r="H314" i="2"/>
  <c r="H297" i="2"/>
  <c r="H296" i="2"/>
  <c r="H318" i="2" s="1"/>
  <c r="H319" i="2" s="1"/>
  <c r="L319" i="2" s="1"/>
  <c r="H135" i="2"/>
  <c r="H399" i="2"/>
  <c r="H271" i="2"/>
  <c r="A75" i="2" l="1"/>
  <c r="H137" i="2"/>
  <c r="H138" i="2" s="1"/>
  <c r="L138" i="2" s="1"/>
  <c r="H273" i="2"/>
  <c r="H274" i="2" s="1"/>
  <c r="L274" i="2" s="1"/>
  <c r="H402" i="2"/>
  <c r="H403" i="2" s="1"/>
  <c r="L403" i="2" s="1"/>
  <c r="F393" i="2"/>
  <c r="F388" i="2"/>
  <c r="F286" i="2"/>
  <c r="G322" i="2"/>
  <c r="A91" i="2" l="1"/>
  <c r="H286" i="2"/>
  <c r="H322" i="2"/>
  <c r="H393" i="2"/>
  <c r="H388" i="2"/>
  <c r="A97" i="2" l="1"/>
  <c r="H289" i="2"/>
  <c r="H290" i="2" s="1"/>
  <c r="L290" i="2" s="1"/>
  <c r="H323" i="2"/>
  <c r="H324" i="2" s="1"/>
  <c r="L324" i="2" s="1"/>
  <c r="H389" i="2"/>
  <c r="H390" i="2" s="1"/>
  <c r="L390" i="2" s="1"/>
  <c r="H395" i="2"/>
  <c r="H396" i="2" s="1"/>
  <c r="L396" i="2" s="1"/>
  <c r="L405" i="2" l="1"/>
  <c r="L406" i="2" s="1"/>
  <c r="A108" i="2"/>
  <c r="L407" i="2" l="1"/>
  <c r="A115" i="2"/>
  <c r="A120" i="2" s="1"/>
  <c r="L408" i="2"/>
  <c r="L409" i="2"/>
  <c r="J411" i="2" s="1"/>
  <c r="A126" i="2" l="1"/>
  <c r="A132" i="2" l="1"/>
  <c r="A140" i="2" l="1"/>
  <c r="A147" i="2" l="1"/>
  <c r="A153" i="2" l="1"/>
  <c r="A164" i="2" l="1"/>
  <c r="A184" i="2" l="1"/>
  <c r="A193" i="2" l="1"/>
  <c r="A199" i="2" s="1"/>
  <c r="A214" i="2" l="1"/>
  <c r="A219" i="2" l="1"/>
  <c r="A226" i="2" l="1"/>
  <c r="A233" i="2" l="1"/>
  <c r="A239" i="2" s="1"/>
  <c r="A244" i="2" l="1"/>
  <c r="A249" i="2" l="1"/>
  <c r="A255" i="2" l="1"/>
  <c r="A260" i="2" l="1"/>
  <c r="A265" i="2" l="1"/>
  <c r="A270" i="2" l="1"/>
  <c r="A276" i="2" l="1"/>
  <c r="A285" i="2" l="1"/>
  <c r="A292" i="2" l="1"/>
  <c r="A321" i="2" l="1"/>
  <c r="A326" i="2" l="1"/>
  <c r="A331" i="2" s="1"/>
  <c r="A337" i="2" l="1"/>
  <c r="A342" i="2" s="1"/>
  <c r="A347" i="2" l="1"/>
  <c r="A352" i="2" s="1"/>
  <c r="A357" i="2" l="1"/>
  <c r="A362" i="2" s="1"/>
  <c r="A367" i="2" l="1"/>
  <c r="A376" i="2" s="1"/>
  <c r="A387" i="2" l="1"/>
  <c r="A392" i="2" l="1"/>
  <c r="A398" i="2" s="1"/>
</calcChain>
</file>

<file path=xl/sharedStrings.xml><?xml version="1.0" encoding="utf-8"?>
<sst xmlns="http://schemas.openxmlformats.org/spreadsheetml/2006/main" count="655" uniqueCount="196">
  <si>
    <t>Sr No</t>
  </si>
  <si>
    <t>HSR
Item No</t>
  </si>
  <si>
    <t>Description</t>
  </si>
  <si>
    <t>Nos</t>
  </si>
  <si>
    <t>Length</t>
  </si>
  <si>
    <t>Breadth</t>
  </si>
  <si>
    <t>Depth</t>
  </si>
  <si>
    <t>Quantity</t>
  </si>
  <si>
    <t>Unit</t>
  </si>
  <si>
    <t>Rate Type</t>
  </si>
  <si>
    <t>Rate</t>
  </si>
  <si>
    <t>Amount</t>
  </si>
  <si>
    <t>4.14.1</t>
  </si>
  <si>
    <t>septic tank</t>
  </si>
  <si>
    <t>cft</t>
  </si>
  <si>
    <t>water tank</t>
  </si>
  <si>
    <t>under stair</t>
  </si>
  <si>
    <t>Total (cft)</t>
  </si>
  <si>
    <t>Total (cum)</t>
  </si>
  <si>
    <t>cum</t>
  </si>
  <si>
    <t>Through Rate</t>
  </si>
  <si>
    <t>6.1.6</t>
  </si>
  <si>
    <t>Labour Rate</t>
  </si>
  <si>
    <t>7.21.2</t>
  </si>
  <si>
    <t>tank</t>
  </si>
  <si>
    <t>Toilet</t>
  </si>
  <si>
    <t>step back</t>
  </si>
  <si>
    <t>Labour Rate Amnd</t>
  </si>
  <si>
    <t>6.34.6</t>
  </si>
  <si>
    <t>12mm dia</t>
  </si>
  <si>
    <t>Plinth beam</t>
  </si>
  <si>
    <t>rft</t>
  </si>
  <si>
    <t>cover</t>
  </si>
  <si>
    <t>Total (rft)</t>
  </si>
  <si>
    <t>Total (meter)</t>
  </si>
  <si>
    <t>meter</t>
  </si>
  <si>
    <t>Total (Weight of φ12mm Rebar)</t>
  </si>
  <si>
    <t>Kg</t>
  </si>
  <si>
    <t>A</t>
  </si>
  <si>
    <t>8mm dia</t>
  </si>
  <si>
    <t>ring 7*7</t>
  </si>
  <si>
    <t>Total (Weight of φ8mm Rebar)</t>
  </si>
  <si>
    <t>B</t>
  </si>
  <si>
    <t>Total A + B</t>
  </si>
  <si>
    <t>kg</t>
  </si>
  <si>
    <t>6.14.1</t>
  </si>
  <si>
    <t>PB</t>
  </si>
  <si>
    <t>7.22.2</t>
  </si>
  <si>
    <t>toilet</t>
  </si>
  <si>
    <t>parapet</t>
  </si>
  <si>
    <t>LHS</t>
  </si>
  <si>
    <t>Front</t>
  </si>
  <si>
    <t>Grill</t>
  </si>
  <si>
    <t>door</t>
  </si>
  <si>
    <t>13.3.1.1</t>
  </si>
  <si>
    <t>13.27</t>
  </si>
  <si>
    <t>take 14.9kg per meter</t>
  </si>
  <si>
    <t>ISMB150</t>
  </si>
  <si>
    <t>Total (Weight for 14.9 Kg per Meter)</t>
  </si>
  <si>
    <t>Total A</t>
  </si>
  <si>
    <t>9.19.1.1</t>
  </si>
  <si>
    <t>sft</t>
  </si>
  <si>
    <t>Total (sft)</t>
  </si>
  <si>
    <t>Total (sqm)</t>
  </si>
  <si>
    <t>sqm</t>
  </si>
  <si>
    <t>9.11.1</t>
  </si>
  <si>
    <t>9.17.1</t>
  </si>
  <si>
    <t>10.2</t>
  </si>
  <si>
    <t>10.1</t>
  </si>
  <si>
    <t>12.50.2</t>
  </si>
  <si>
    <t>Total (kg)</t>
  </si>
  <si>
    <t>13.41</t>
  </si>
  <si>
    <t>11.5.4</t>
  </si>
  <si>
    <t>outer</t>
  </si>
  <si>
    <t>-</t>
  </si>
  <si>
    <t>front</t>
  </si>
  <si>
    <t>11.6.2</t>
  </si>
  <si>
    <t>inner</t>
  </si>
  <si>
    <t>grill</t>
  </si>
  <si>
    <t>step</t>
  </si>
  <si>
    <t>10.8</t>
  </si>
  <si>
    <t>b.wall</t>
  </si>
  <si>
    <t>10.63.2</t>
  </si>
  <si>
    <t>10.58</t>
  </si>
  <si>
    <t>choupal</t>
  </si>
  <si>
    <t>12.36.1</t>
  </si>
  <si>
    <t>D</t>
  </si>
  <si>
    <t>12.7.3.1</t>
  </si>
  <si>
    <t>window</t>
  </si>
  <si>
    <t>12.33.1</t>
  </si>
  <si>
    <t>13.6.1</t>
  </si>
  <si>
    <t>back side</t>
  </si>
  <si>
    <t>12.98.2</t>
  </si>
  <si>
    <t>toilet &amp; choupal</t>
  </si>
  <si>
    <t>nos</t>
  </si>
  <si>
    <t>Total (nos)</t>
  </si>
  <si>
    <t>each</t>
  </si>
  <si>
    <t>12.99.4</t>
  </si>
  <si>
    <t>12.102.1</t>
  </si>
  <si>
    <t>12.73.1</t>
  </si>
  <si>
    <t>Total (each)</t>
  </si>
  <si>
    <t>12.73.2</t>
  </si>
  <si>
    <t>12.73.3</t>
  </si>
  <si>
    <t>11.76</t>
  </si>
  <si>
    <t>V</t>
  </si>
  <si>
    <t>W</t>
  </si>
  <si>
    <t>11.68.3</t>
  </si>
  <si>
    <t>gate</t>
  </si>
  <si>
    <t>11.82.1</t>
  </si>
  <si>
    <t>qty same as previous item</t>
  </si>
  <si>
    <t>11.58</t>
  </si>
  <si>
    <t>inner choupal</t>
  </si>
  <si>
    <t>ceiling</t>
  </si>
  <si>
    <t>outer choupal</t>
  </si>
  <si>
    <t>stair</t>
  </si>
  <si>
    <t>B.wall</t>
  </si>
  <si>
    <t>11.95.1</t>
  </si>
  <si>
    <t>22.181</t>
  </si>
  <si>
    <t>liter</t>
  </si>
  <si>
    <t>Total (liter)</t>
  </si>
  <si>
    <t>litre</t>
  </si>
  <si>
    <t>22.86.2</t>
  </si>
  <si>
    <t>22.25.2</t>
  </si>
  <si>
    <t>22.1.7</t>
  </si>
  <si>
    <t>22.22.1</t>
  </si>
  <si>
    <t>22.87.9</t>
  </si>
  <si>
    <t xml:space="preserve">waste pipe </t>
  </si>
  <si>
    <t>22.106.1</t>
  </si>
  <si>
    <t>22.104.1</t>
  </si>
  <si>
    <t>4.7.1.2</t>
  </si>
  <si>
    <t>did building</t>
  </si>
  <si>
    <t>4.4.1</t>
  </si>
  <si>
    <t>(B1+B2)/2</t>
  </si>
  <si>
    <t>17.23.1</t>
  </si>
  <si>
    <t>area same as dressing</t>
  </si>
  <si>
    <t>Cum</t>
  </si>
  <si>
    <t>Labour + Machinery Rate Amnd</t>
  </si>
  <si>
    <t>17.69.3</t>
  </si>
  <si>
    <t>6.39.1</t>
  </si>
  <si>
    <t>End</t>
  </si>
  <si>
    <t>Total</t>
  </si>
  <si>
    <t>Add 18% GST</t>
  </si>
  <si>
    <t>Total Amount</t>
  </si>
  <si>
    <t>Add 1% Contigency</t>
  </si>
  <si>
    <t>GRAND TOTAL</t>
  </si>
  <si>
    <t xml:space="preserve"> .</t>
  </si>
  <si>
    <t xml:space="preserve">Say Rs. : </t>
  </si>
  <si>
    <t>Sc Choupal</t>
  </si>
  <si>
    <r>
      <t xml:space="preserve">6.39: Concrete and RCC Work K CEMENT CONCRETE PRECAST Providing and fixing at or near ground level precast cement concrete in kerbs, edgings etc. as per approved pattern and setting in position with cement mortar 1:3 (1 Cement : 3 coarse sand), including the cost of required centering, shuttering complete.
</t>
    </r>
    <r>
      <rPr>
        <b/>
        <i/>
        <sz val="9"/>
        <color rgb="FF8B0000"/>
        <rFont val="Calibri"/>
        <family val="2"/>
        <scheme val="minor"/>
      </rPr>
      <t xml:space="preserve">6.39.1: 1:1�:3 (1 Cement: 1� coarse sand(zone-III) : 3 graded stone aggregate 20 mm nominal size).
</t>
    </r>
  </si>
  <si>
    <r>
      <t xml:space="preserve">17.69: Road Works MAINTENANCE OF ROADS Interlocking Concrete Block Pavement
</t>
    </r>
    <r>
      <rPr>
        <b/>
        <i/>
        <sz val="9"/>
        <color rgb="FF8B0000"/>
        <rFont val="Times New Roman"/>
        <family val="1"/>
      </rPr>
      <t xml:space="preserve">17.69.3: Providing and Laying 60 mm thick ISI marked Interlocking Paver Blocks conforming to IS 15658:2006/IRC SP 63: 2004 of all shapes and colours in design mix cement M 35 over the bed of 25 mm thick fine sand complete in all respect.
</t>
    </r>
  </si>
  <si>
    <r>
      <t xml:space="preserve">17.23: Road Works Clearing and Grubbing Road Land . Water Bound Macadam Grading - II
</t>
    </r>
    <r>
      <rPr>
        <b/>
        <i/>
        <sz val="9"/>
        <color rgb="FF8B0000"/>
        <rFont val="Calibri"/>
        <family val="2"/>
        <scheme val="minor"/>
      </rPr>
      <t xml:space="preserve">17.23.1: Water Bound Macadam (63mm to 45 mm) Grading I with screening Type 'A' (13.2 mm aggregates) Providing, laying, spreading and compacting stone aggregates of specific sizes to water bound macadam specification including spreading in uniform thickness, hand packing, rolling with 3 wheeled steel/ vibratory roller 8-10 tonnes in stages to proper grade and camber, applying and brooming requisite type of screening/ binding Materials to fill up the interstices of coarse aggregate, watering and compacting to the required density complete as per technical clause 404 of MORT&amp;H specifications
</t>
    </r>
  </si>
  <si>
    <r>
      <t xml:space="preserve">4.4: Earth Work and Rock Cutting Surface dressing of the ground including removing vegetation and in-equalities not exceeding 15 cm deep and disposal of rubbish, lead up to 50 m and lift up to 1.5 m.
</t>
    </r>
    <r>
      <rPr>
        <b/>
        <i/>
        <sz val="9"/>
        <color rgb="FF8B0000"/>
        <rFont val="Calibri"/>
        <family val="2"/>
        <scheme val="minor"/>
      </rPr>
      <t xml:space="preserve">4.4.1: All kinds of soil
</t>
    </r>
  </si>
  <si>
    <r>
      <t xml:space="preserve">4.7: Earth Work and Rock Cutting Earth work in surface excavation not exceeding 30 cm in depth but exceeding 1.5 m in width as well as 10 sqm on plan including getting out and disposal of excavated earth and lift up to 1.5 m, as directed by Engineer-in- Charge:
</t>
    </r>
    <r>
      <rPr>
        <b/>
        <i/>
        <sz val="8"/>
        <color rgb="FF800080"/>
        <rFont val="Calibri"/>
        <family val="2"/>
        <scheme val="minor"/>
      </rPr>
      <t xml:space="preserve">4.7.1.2: All kinds of soil 15 m lead
</t>
    </r>
  </si>
  <si>
    <r>
      <t xml:space="preserve">22.104: Sanitary Installations C.P. BRASS FITTINGS Providing and fixing C.P. brass bib cock of approved quality conforming to IS:8931 :
</t>
    </r>
    <r>
      <rPr>
        <b/>
        <i/>
        <sz val="9"/>
        <color rgb="FF8B0000"/>
        <rFont val="Times New Roman"/>
        <family val="1"/>
      </rPr>
      <t xml:space="preserve">22.104.1: 15 mm nominal bore
</t>
    </r>
  </si>
  <si>
    <r>
      <t xml:space="preserve">22.106: Sanitary Installations C.P. BRASS FITTINGS Providing and fixing C.P. brass long body bib cock of approved quality conforming to IS standards and weighing not less than 690 gms.
</t>
    </r>
    <r>
      <rPr>
        <b/>
        <i/>
        <sz val="9"/>
        <color rgb="FF8B0000"/>
        <rFont val="Times New Roman"/>
        <family val="1"/>
      </rPr>
      <t xml:space="preserve">22.106.1: 15 mm nominal bore
</t>
    </r>
  </si>
  <si>
    <r>
      <t xml:space="preserve">22.87: Sanitary Installations C.P.V.C. PIPES Providing and fixing Chlorinated Polyvinyl Chloride (CPVC) pipes, having thermal stability for hot and cold water supply including all CPVC plain and brass threaded fittings This includes jointing of pipes and fittings with one step CPVC solvent cement, trenching, refilling and testing of joints complete as per direction of Engineer in Charge.  External work
</t>
    </r>
    <r>
      <rPr>
        <b/>
        <i/>
        <sz val="9"/>
        <color rgb="FF8B0000"/>
        <rFont val="Times New Roman"/>
        <family val="1"/>
      </rPr>
      <t xml:space="preserve">22.87.9: 100 mm nominal inner dia Pipes
</t>
    </r>
  </si>
  <si>
    <r>
      <t xml:space="preserve">22.22: Sanitary Installations WCs, URINALS AND URINAL PARTITIONS 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t>
    </r>
    <r>
      <rPr>
        <b/>
        <i/>
        <sz val="9"/>
        <color rgb="FF8B0000"/>
        <rFont val="Times New Roman"/>
        <family val="1"/>
      </rPr>
      <t xml:space="preserve">22.22.1: White vitreous chinaware Orissa pattern W.C. pan of size 580x440 mm with integral type foot rests
</t>
    </r>
  </si>
  <si>
    <r>
      <t xml:space="preserve">22.1: Sanitary Installations WASH BASINS, KITCHEN SINKS AND HARDWARES Providing and fixing wash basin with C.I. brackets, 15 mm C.P. brass pillar taps, 32 mm C.P. brass waste of standard pattern, including painting of fittings and brackets, cutting and making good the walls wherever require:
</t>
    </r>
    <r>
      <rPr>
        <b/>
        <i/>
        <sz val="9"/>
        <color rgb="FF8B0000"/>
        <rFont val="Times New Roman"/>
        <family val="1"/>
      </rPr>
      <t xml:space="preserve">22.1.7: White vitreous chinaware Flat back wash basin size 450x 300 mm with single 15mm C.P. brass pillar tap
</t>
    </r>
  </si>
  <si>
    <r>
      <t xml:space="preserve">22.25: Sanitary Installations WCs, URINALS AND URINAL PARTITIONS Providing and fixing white vitreous chinaware flat back or wall corner type lipped front urinal basin of 430x260x350 mm and 340x410x265 mm sizes respectively with flushing cistern with standard flush pipe and C.P. brass spreaders with brass unions and G.I clamps complete, including painting of fittings and brackets, cutting and making good the walls and floors wherever required :
</t>
    </r>
    <r>
      <rPr>
        <b/>
        <i/>
        <sz val="9"/>
        <color rgb="FF8B0000"/>
        <rFont val="Times New Roman"/>
        <family val="1"/>
      </rPr>
      <t xml:space="preserve">22.25.2: One urinal basin with manually operated 5 litres PVC cistern and manually operated stop cock/ angle valve
</t>
    </r>
  </si>
  <si>
    <r>
      <t xml:space="preserve">22.86: Sanitary Installations C.P.V.C. PIPES Providing and fixing Chlorinated Polyvinyl Chloride (CPVC) pipes, having thermal stability for hot and cold water supply, including all CPVC plain and brass threaded fittings, i/c fixing the pipe with clamps at 1.00 m spacing. This includes jointing of pipes and fittings with one step CPVC solvent cement and the cost of cutting chases and making good the same including testing of joints complete as per direction of Engineer in Charge.
</t>
    </r>
    <r>
      <rPr>
        <b/>
        <i/>
        <sz val="9"/>
        <color rgb="FF8B0000"/>
        <rFont val="Times New Roman"/>
        <family val="1"/>
      </rPr>
      <t xml:space="preserve">22.86.2: 20 mm nominal outer dia Pipes
</t>
    </r>
  </si>
  <si>
    <t xml:space="preserve">22.181: Sanitary Installations LOFT AND TERRACE WATER TANKS Providing and placing on terrace (at all floor levels) polyethylene water storage tank, IS : 12701 marked, with cover and suitable locking arrangement and making necessary holes for inlet, outlet and overflow pipes but without fittings and the base support for tank.
</t>
  </si>
  <si>
    <r>
      <t xml:space="preserve">11.95: Finishing Works EXTERIOR FINISHING WALL AND ROOF SURFACES Finishing walls with Acrylic Smooth exterior paint of required shade :
</t>
    </r>
    <r>
      <rPr>
        <b/>
        <i/>
        <sz val="9"/>
        <color rgb="FF8B0000"/>
        <rFont val="Calibri"/>
        <family val="2"/>
        <scheme val="minor"/>
      </rPr>
      <t xml:space="preserve">11.95.1: New work (Two or more coat applied @ 1.67 litre/10 sqm over and including priming coat of exterior primer applied @ 2.20 kg/10 sqm)
</t>
    </r>
  </si>
  <si>
    <t xml:space="preserve">11.58: Finishing Works INTERIOR FINISHING Providing and applying two coats white cement based putty of approved brand and manufacturer, over plastered surface and grinding the surface smooth with sand paper to get en even and smooth finish including cost and carriage of all material , labour charges, scaffolding, sundries etc. complete
</t>
  </si>
  <si>
    <r>
      <t xml:space="preserve">11.82: Finishing Works INTERIOR FINISHING Painting the wooden / metal surface with synthetic enamel paint of approved brand and manufacture to give an even shade :
</t>
    </r>
    <r>
      <rPr>
        <b/>
        <i/>
        <sz val="9"/>
        <color rgb="FF8B0000"/>
        <rFont val="Calibri"/>
        <family val="2"/>
        <scheme val="minor"/>
      </rPr>
      <t xml:space="preserve">11.82.1: Two or more coats on new work
</t>
    </r>
  </si>
  <si>
    <r>
      <t xml:space="preserve">11.68: Finishing Works INTERIOR FINISHING Applying priming coat:
</t>
    </r>
    <r>
      <rPr>
        <b/>
        <i/>
        <sz val="9"/>
        <color rgb="FF8B0000"/>
        <rFont val="Times New Roman"/>
        <family val="1"/>
      </rPr>
      <t xml:space="preserve">11.68.3: With ready mixed red oxide zinc chromate primer of approved brand and manufacture on steel galvanised iron/ steel works
</t>
    </r>
  </si>
  <si>
    <t xml:space="preserve">11.76: Finishing Works INTERIOR FINISHING Preparation of ply wood surface for painting including sand papering the surface and applying filling with approved quality filler consisting of white lead, linseed oil, varnish and chalk mitti including finishing the surface to required finish complete.
</t>
  </si>
  <si>
    <r>
      <t xml:space="preserve">12.73: Wood Work, PVC and Aluminum Door and Windows STAINLESS STEEL FITTINGS Providing and fixing IS : 12817 marked stainless steel butt hinges with stainless steel screws etc. complete :
</t>
    </r>
    <r>
      <rPr>
        <b/>
        <i/>
        <sz val="9"/>
        <color rgb="FF8B0000"/>
        <rFont val="Times New Roman"/>
        <family val="1"/>
      </rPr>
      <t xml:space="preserve">12.73.3: 75x47x1.80 mm
</t>
    </r>
  </si>
  <si>
    <r>
      <t xml:space="preserve">12.73: Wood Work, PVC and Aluminum Door and Windows STAINLESS STEEL FITTINGS Providing and fixing IS : 12817 marked stainless steel butt hinges with stainless steel screws etc. complete :
</t>
    </r>
    <r>
      <rPr>
        <b/>
        <i/>
        <sz val="9"/>
        <color rgb="FF8B0000"/>
        <rFont val="Times New Roman"/>
        <family val="1"/>
      </rPr>
      <t xml:space="preserve">12.73.2: 100X58X1.90 mm
</t>
    </r>
  </si>
  <si>
    <r>
      <t xml:space="preserve">12.73: Wood Work, PVC and Aluminum Door and Windows STAINLESS STEEL FITTINGS Providing and fixing IS : 12817 marked stainless steel butt hinges with stainless steel screws etc. complete :
</t>
    </r>
    <r>
      <rPr>
        <b/>
        <i/>
        <sz val="9"/>
        <color rgb="FF8B0000"/>
        <rFont val="Times New Roman"/>
        <family val="1"/>
      </rPr>
      <t xml:space="preserve">12.73.1: 125x64x1.90 mm
</t>
    </r>
  </si>
  <si>
    <r>
      <t xml:space="preserve">12.102: Wood Work, PVC and Aluminum Door and Windows ANODISED ALUMINIUM FITTINGS (ALL FITTINGS SHALL BE ISI MARKED) Providing and fixing aluminium handles, ISI marked, anodised (anodic coating not less than grade AC 10 as per IS : 1868) transparent or dyed to required colour or shade, with necessary screws etc. complete :
</t>
    </r>
    <r>
      <rPr>
        <b/>
        <i/>
        <sz val="9"/>
        <color rgb="FF8B0000"/>
        <rFont val="Times New Roman"/>
        <family val="1"/>
      </rPr>
      <t xml:space="preserve">12.102.1: 125 mm
</t>
    </r>
  </si>
  <si>
    <r>
      <t xml:space="preserve">12.99: Wood Work, PVC and Aluminum Door and Windows ANODISED ALUMINIUM FITTINGS (ALL FITTINGS SHALL BE ISI MARKED) Providing and fixing aluminium tower bolts, ISI marked, anodised (anodic coating not less than grade AC 10 as per IS : 1868 ) transparent or dyed to required colour or shade, with necessary screws etc. complete :
</t>
    </r>
    <r>
      <rPr>
        <b/>
        <i/>
        <sz val="9"/>
        <color rgb="FF8B0000"/>
        <rFont val="Times New Roman"/>
        <family val="1"/>
      </rPr>
      <t xml:space="preserve">12.99.4: 150x10 mm
</t>
    </r>
  </si>
  <si>
    <r>
      <t xml:space="preserve">12.98: Wood Work, PVC and Aluminum Door and Windows ANODISED ALUMINIUM FITTINGS (ALL FITTINGS SHALL BE ISI MARKED) Providing and fixing aluminium sliding door bolts, ISI marked anodised (anodic coating not less than grade AC 10 as per IS : 1868), transparent or dyed to required colour or shade, with nuts and screws etc. complete :
</t>
    </r>
    <r>
      <rPr>
        <b/>
        <i/>
        <sz val="9"/>
        <color rgb="FF8B0000"/>
        <rFont val="Times New Roman"/>
        <family val="1"/>
      </rPr>
      <t xml:space="preserve">12.98.2: 250x16 mm
</t>
    </r>
  </si>
  <si>
    <r>
      <t xml:space="preserve">13.6: Steel and Iron Work STEEL DOOR/ WINDOW FRAMES AND SHUTTERS Providing and fixing 1mm thick M.S. sheet door with frame of 40x40x6 mm angle iron and 3 mm M.S. gusset plates at the junctions and corners, all necessary fittings complete, including applying a priming coat of approved steel primer.
</t>
    </r>
    <r>
      <rPr>
        <b/>
        <i/>
        <sz val="9"/>
        <color rgb="FF8B0000"/>
        <rFont val="Calibri"/>
        <family val="2"/>
        <scheme val="minor"/>
      </rPr>
      <t xml:space="preserve">13.6.1: Using M.S. angels 40x40x6 mm for diagonal braces
</t>
    </r>
  </si>
  <si>
    <r>
      <t xml:space="preserve">12.33: Wood Work, PVC and Aluminum Door and Windows CUPBOARD SHUTTERS Providing and fixing fly proof stainless steel grade 304 wire gauge, to windows and clerestory windows using wire gauge with average width of aperture 1.4 mm in both directions with wire of dia. 0.50 mm all complete.
</t>
    </r>
    <r>
      <rPr>
        <b/>
        <i/>
        <sz val="9"/>
        <color rgb="FF8B0000"/>
        <rFont val="Calibri"/>
        <family val="2"/>
        <scheme val="minor"/>
      </rPr>
      <t xml:space="preserve">12.33.1: With 2nd class teak wood beading 62X19 mm
</t>
    </r>
  </si>
  <si>
    <r>
      <t xml:space="preserve">12.7: Wood Work, PVC and Aluminum Door and Windows A DOOR FRAMES, SHUTTERS AND WINDOWS Providing and fixing panelled or panelled and glazed shutters for doors, windows and clerestory windows, including ISI marked M.S. pressed butt hinges bright finished of required size with necessary screws, excluding panelling which will be paid for separately, all complete as per direction of Engineer-in-charge. (Note:- Butt hinges and necessary screws shall be paid separately)
</t>
    </r>
    <r>
      <rPr>
        <b/>
        <i/>
        <sz val="8"/>
        <color rgb="FF800080"/>
        <rFont val="Calibri"/>
        <family val="2"/>
        <scheme val="minor"/>
      </rPr>
      <t xml:space="preserve">12.7.3.1: Kiln seasoned selected planks of sheesham wood  35 mm thick shutters
</t>
    </r>
  </si>
  <si>
    <r>
      <t xml:space="preserve">12.36: Wood Work, PVC and Aluminum Door and Windows FLUSH DOOR SHUTTERS 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t>
    </r>
    <r>
      <rPr>
        <b/>
        <i/>
        <sz val="9"/>
        <color rgb="FF8B0000"/>
        <rFont val="Times New Roman"/>
        <family val="1"/>
      </rPr>
      <t xml:space="preserve">12.36.1: 35 mm thick including ISI marked Stainless Steel butt hinges with necessary screws
</t>
    </r>
  </si>
  <si>
    <t xml:space="preserve">10.58: Flooring and Dados CERAMIC GLAZED TILES Providing and fixing 1st quality ceramic glazed wall tiles conforming to IS : 15622 (thickness to be specified by the manufacturer )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
</t>
  </si>
  <si>
    <r>
      <t xml:space="preserve">10.63: Flooring and Dados VITRIFIED FLOOR TILES 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t>
    </r>
    <r>
      <rPr>
        <b/>
        <i/>
        <sz val="9"/>
        <color rgb="FF8B0000"/>
        <rFont val="Times New Roman"/>
        <family val="1"/>
      </rPr>
      <t xml:space="preserve">10.63.2: Size of Tile 600x600 mm
</t>
    </r>
  </si>
  <si>
    <t xml:space="preserve">10.8: Flooring and Dados CEMENT CONCRETE FLOORING Providing and laying of conglomerate floor 40mm thick cement concrete topping 1:2:4
</t>
  </si>
  <si>
    <r>
      <t xml:space="preserve">11.6: Finishing Works CEMENT PLASTER (IN FINE SAND) 15 mm cement plaster on the rough side of single or half brick wall of mix :
</t>
    </r>
    <r>
      <rPr>
        <b/>
        <i/>
        <sz val="9"/>
        <color rgb="FF8B0000"/>
        <rFont val="Times New Roman"/>
        <family val="1"/>
      </rPr>
      <t xml:space="preserve">11.6.2: 1:6 (1 cement: 6 fine sand)
</t>
    </r>
  </si>
  <si>
    <r>
      <t xml:space="preserve">11.5: Finishing Works CEMENT PLASTER (IN FINE SAND) 12 mm cement plaster of mix :
</t>
    </r>
    <r>
      <rPr>
        <b/>
        <i/>
        <sz val="9"/>
        <color rgb="FF8B0000"/>
        <rFont val="Times New Roman"/>
        <family val="1"/>
      </rPr>
      <t xml:space="preserve">11.5.4: 1:6 (1 cement: 6 fine sand)
</t>
    </r>
  </si>
  <si>
    <t xml:space="preserve">13.41: Steel and Iron Work STAINLESS STEEL RAILING 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and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
</t>
  </si>
  <si>
    <r>
      <t xml:space="preserve">12.50: Wood Work, PVC and Aluminum Door and Windows WINDOW GRILLS, METAL MESH, WIRE GAUGE ETC. Providing and fixing M.S. grills of required pattern in frames of windows etc. with M.S. flats, square or round bars etc. including priming coat with approved steel primer all complete.
</t>
    </r>
    <r>
      <rPr>
        <b/>
        <i/>
        <sz val="9"/>
        <color rgb="FF8B0000"/>
        <rFont val="Calibri"/>
        <family val="2"/>
        <scheme val="minor"/>
      </rPr>
      <t xml:space="preserve">12.50.2: Fixed to openings /wooden frames with rawl plugs screws etc.
</t>
    </r>
  </si>
  <si>
    <t xml:space="preserve">10.1: Flooring and Dados CEMENT CONCRETE FLOORING Providing and laying of base course of floors consisting of 100 mm thick cement 1:8:16 and 100 mm sand or stone filling.
</t>
  </si>
  <si>
    <t xml:space="preserve">10.2: Flooring and Dados CEMENT CONCRETE FLOORING Supplying and filling in plinth with sand (conforming to zone-IV, IS 1542) under floors, including watering, ramming, consolidating and dressing complete.
</t>
  </si>
  <si>
    <r>
      <t xml:space="preserve">9.17: Hoisting and Roofing B ROOFING Providing gola 75x75 mm in cement concrete 1:2:4 (1 cement : 2 coarse sand : 4 stone aggregate 10 mm and down gauge), including finishing with cement mortar 1:3 (1 cement : 3 fine sand) as per standard design :
</t>
    </r>
    <r>
      <rPr>
        <b/>
        <i/>
        <sz val="9"/>
        <color rgb="FF8B0000"/>
        <rFont val="Times New Roman"/>
        <family val="1"/>
      </rPr>
      <t xml:space="preserve">9.17.1: In 75x75 mm deep chase
</t>
    </r>
  </si>
  <si>
    <r>
      <t xml:space="preserve">9.11: Hoisting and Roofing B ROOFING 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
</t>
    </r>
    <r>
      <rPr>
        <b/>
        <i/>
        <sz val="9"/>
        <color rgb="FF8B0000"/>
        <rFont val="Times New Roman"/>
        <family val="1"/>
      </rPr>
      <t xml:space="preserve">9.11.1: With common burnt clay non-modular brick tile of class designation 10
</t>
    </r>
  </si>
  <si>
    <r>
      <t xml:space="preserve">9.19: Hoisting and Roofing B ROOFING 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
</t>
    </r>
    <r>
      <rPr>
        <b/>
        <i/>
        <sz val="8"/>
        <color rgb="FF800080"/>
        <rFont val="Times New Roman"/>
        <family val="1"/>
      </rPr>
      <t xml:space="preserve">9.19.1.1: Red sand stone slab 40 to 50 mm thick
</t>
    </r>
  </si>
  <si>
    <t xml:space="preserve">13.27: Steel and Iron Work SIGLE/BUILT-UP STEEL/TUBULAR SECTIONS Structural steel work in single section, fixed with or without connecting plate, including cutting, hoisting, fixing in position and applying a priming coat of approved steel primer all complete.
</t>
  </si>
  <si>
    <r>
      <t xml:space="preserve">13.3: Steel and Iron Work STEEL DOOR/ WINDOW FRAMES AND SHUTTERS Providing and fixing pressed steel door frames conforming to IS: 4351, manufactured from commercial mild steel sheet of 2.0 mm thickness, including hinges, jamb, lock jamb, bead and if required angle threshold of mild steel angle of section 50x25 mm, or base ties of 2.00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t>
    </r>
    <r>
      <rPr>
        <b/>
        <i/>
        <sz val="8"/>
        <color rgb="FF800080"/>
        <rFont val="Times New Roman"/>
        <family val="1"/>
      </rPr>
      <t xml:space="preserve">13.3.1.1: Profile B Fixing with adjustable lugs with split end tail to each jamb
</t>
    </r>
  </si>
  <si>
    <r>
      <t xml:space="preserve">7.22: Brick work with common burnt clay non- modular bricks of class designation 7.5 in superstructure above plinth level up to floor IV level in all shapes and sizes in :
</t>
    </r>
    <r>
      <rPr>
        <b/>
        <i/>
        <sz val="9"/>
        <color rgb="FF8B0000"/>
        <rFont val="Times New Roman"/>
        <family val="1"/>
      </rPr>
      <t xml:space="preserve">7.22.2: Cement mortar 1:6 (1 cement : 6 coarse sand)
</t>
    </r>
  </si>
  <si>
    <r>
      <t xml:space="preserve">6.14: Concrete and RCC Work D REINFORCED CEMENT CONCRETE Providing and laying in position specified grade of reinforced cement concrete, excluding the cost of centering, shuttering, finishing and reinforcement - All work up to plinth level :
</t>
    </r>
    <r>
      <rPr>
        <b/>
        <i/>
        <sz val="9"/>
        <color rgb="FF8B0000"/>
        <rFont val="Times New Roman"/>
        <family val="1"/>
      </rPr>
      <t xml:space="preserve">6.14.1: 1:1.5:3 (1 cement : 1.5 coarse sand (zone-III): 3 graded stone aggregate 20 mm nominal size)
</t>
    </r>
  </si>
  <si>
    <r>
      <t xml:space="preserve">6.34: Steel reinforcement for R.C.C. work, where not included in the complete rate of RCC, including straightening, cutting, bending, placing in position, binding, wastage, overlaps, welded joints, spacer bars, chairs, stays, hangers and annealed steel wire etc. complete in all respect above plinth level. Note:- Reinforcement shall be measured in length including hooks, if any, separately for different diameters as actually used in work , excluding overlaps. Wastage, overlaps, couplings, welded joints, spacer bars, chairs, stays, hangers and annealed steel wire or other methods of binding &amp; placing shall not be measured and cost of these items shall be deemed to be included in the rates for reinforcement.
</t>
    </r>
    <r>
      <rPr>
        <b/>
        <i/>
        <sz val="9"/>
        <color rgb="FF8B0000"/>
        <rFont val="Times New Roman"/>
        <family val="1"/>
      </rPr>
      <t xml:space="preserve">6.34.6: Thermo-Mechanically Treated bars of grade Fe-500D or more.
</t>
    </r>
  </si>
  <si>
    <r>
      <t xml:space="preserve">7.21: Brick work with common burnt clay non- modular bricks of class designation 10.5 in foundation and plinth in:
</t>
    </r>
    <r>
      <rPr>
        <b/>
        <i/>
        <sz val="9"/>
        <color rgb="FF8B0000"/>
        <rFont val="Times New Roman"/>
        <family val="1"/>
      </rPr>
      <t xml:space="preserve">7.21.2: Cement mortar 1:6 (1 cement : 6 coarse sand)
</t>
    </r>
  </si>
  <si>
    <r>
      <t xml:space="preserve">6.1: Concrete and RCC Work A CEMENT CONCRETE (CAST IN SITU) Providing and laying in position cement concrete of specified grade excluding the cost of centering and shuttering - All work below plinth level and up to Floor IV level:
</t>
    </r>
    <r>
      <rPr>
        <b/>
        <i/>
        <sz val="9"/>
        <color rgb="FF8B0000"/>
        <rFont val="Times New Roman"/>
        <family val="1"/>
      </rPr>
      <t xml:space="preserve">6.1.6: 1:4:8 (1 Cement : 4 coarse sand (zone-III) : 8 graded stone aggregate 40 mm nominal size)
</t>
    </r>
  </si>
  <si>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Times New Roman"/>
        <family val="1"/>
      </rPr>
      <t xml:space="preserve">4.14.1: All kinds of soil.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</si>
</sst>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quot;&quot;"/>
    <numFmt numFmtId="166" formatCode="_(* #,##0_);_(* \(#,##0\);_(* &quot;-&quot;??_);_(@_)"/>
    <numFmt numFmtId="167" formatCode="#,##0.000"/>
  </numFmts>
  <fonts count="35"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4"/>
      <name val="Times New Roman"/>
      <family val="1"/>
    </font>
    <font>
      <b/>
      <sz val="12"/>
      <name val="Times New Roman"/>
      <family val="1"/>
    </font>
    <font>
      <b/>
      <i/>
      <sz val="10"/>
      <color rgb="FF006400"/>
      <name val="Times New Roman"/>
      <family val="1"/>
    </font>
    <font>
      <b/>
      <i/>
      <sz val="9"/>
      <color rgb="FF8B0000"/>
      <name val="Times New Roman"/>
      <family val="1"/>
    </font>
    <font>
      <sz val="12"/>
      <name val="Times New Roman"/>
      <family val="1"/>
    </font>
    <font>
      <b/>
      <i/>
      <sz val="10"/>
      <name val="Times New Roman"/>
      <family val="1"/>
    </font>
    <font>
      <b/>
      <i/>
      <sz val="12"/>
      <color rgb="FFFF0000"/>
      <name val="Times New Roman"/>
      <family val="1"/>
    </font>
    <font>
      <b/>
      <sz val="12"/>
      <color rgb="FF00B050"/>
      <name val="Times New Roman"/>
      <family val="1"/>
    </font>
    <font>
      <b/>
      <sz val="12"/>
      <color rgb="FFFF0000"/>
      <name val="Times New Roman"/>
      <family val="1"/>
    </font>
    <font>
      <b/>
      <sz val="12"/>
      <color theme="1"/>
      <name val="Times New Roman"/>
      <family val="1"/>
    </font>
    <font>
      <b/>
      <i/>
      <sz val="11"/>
      <color rgb="FFFF0000"/>
      <name val="Times New Roman"/>
      <family val="1"/>
    </font>
    <font>
      <b/>
      <sz val="11"/>
      <color rgb="FF00B050"/>
      <name val="Times New Roman"/>
      <family val="1"/>
    </font>
    <font>
      <b/>
      <sz val="11"/>
      <color theme="1"/>
      <name val="Times New Roman"/>
      <family val="1"/>
    </font>
    <font>
      <b/>
      <sz val="11"/>
      <color rgb="FFFF0000"/>
      <name val="Calibri"/>
      <family val="2"/>
      <scheme val="minor"/>
    </font>
    <font>
      <b/>
      <i/>
      <sz val="8"/>
      <color rgb="FF800080"/>
      <name val="Times New Roman"/>
      <family val="1"/>
    </font>
    <font>
      <b/>
      <sz val="12"/>
      <color rgb="FF7030A0"/>
      <name val="Times New Roman"/>
      <family val="1"/>
    </font>
    <font>
      <b/>
      <i/>
      <sz val="10"/>
      <color rgb="FF006400"/>
      <name val="Calibri"/>
      <family val="2"/>
      <scheme val="minor"/>
    </font>
    <font>
      <b/>
      <i/>
      <sz val="9"/>
      <color rgb="FF8B0000"/>
      <name val="Calibri"/>
      <family val="2"/>
      <scheme val="minor"/>
    </font>
    <font>
      <b/>
      <sz val="16"/>
      <name val="Times New Roman"/>
      <family val="1"/>
    </font>
    <font>
      <sz val="10"/>
      <name val="Arial"/>
      <family val="2"/>
    </font>
    <font>
      <b/>
      <i/>
      <sz val="8"/>
      <color rgb="FF800080"/>
      <name val="Calibri"/>
      <family val="2"/>
      <scheme val="minor"/>
    </font>
    <font>
      <sz val="11"/>
      <name val="Times New Roman"/>
      <family val="1"/>
    </font>
    <font>
      <b/>
      <sz val="11"/>
      <name val="Times New Roman"/>
      <family val="1"/>
    </font>
    <font>
      <sz val="12"/>
      <name val="Calibri"/>
      <family val="2"/>
      <scheme val="minor"/>
    </font>
    <font>
      <b/>
      <sz val="12"/>
      <name val="Calibri"/>
      <family val="2"/>
      <scheme val="minor"/>
    </font>
    <font>
      <b/>
      <sz val="11"/>
      <color rgb="FF000000"/>
      <name val="Times New Roman"/>
      <family val="1"/>
    </font>
    <font>
      <b/>
      <sz val="11"/>
      <color rgb="FF000000"/>
      <name val="Calibri"/>
      <family val="2"/>
      <scheme val="minor"/>
    </font>
    <font>
      <b/>
      <i/>
      <sz val="14"/>
      <color rgb="FF000000"/>
      <name val="Times New Roman"/>
      <family val="1"/>
    </font>
    <font>
      <sz val="11"/>
      <color theme="1"/>
      <name val="Times New Roman"/>
      <family val="1"/>
    </font>
    <font>
      <b/>
      <sz val="26"/>
      <name val="Calibri"/>
      <family val="2"/>
      <scheme val="minor"/>
    </font>
  </fonts>
  <fills count="12">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E699"/>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s>
  <borders count="21">
    <border>
      <left/>
      <right/>
      <top/>
      <bottom/>
      <diagonal/>
    </border>
    <border>
      <left/>
      <right/>
      <top/>
      <bottom style="thick">
        <color auto="1"/>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s>
  <cellStyleXfs count="3">
    <xf numFmtId="0" fontId="0" fillId="0" borderId="0"/>
    <xf numFmtId="0" fontId="1" fillId="0" borderId="0"/>
    <xf numFmtId="0" fontId="24" fillId="0" borderId="0"/>
  </cellStyleXfs>
  <cellXfs count="359">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3" fillId="0" borderId="0" xfId="0" applyFont="1"/>
    <xf numFmtId="49" fontId="6" fillId="0" borderId="9" xfId="0" applyNumberFormat="1" applyFont="1" applyBorder="1" applyAlignment="1">
      <alignment horizontal="center" vertical="center" wrapText="1"/>
    </xf>
    <xf numFmtId="2" fontId="9" fillId="2" borderId="6" xfId="0" applyNumberFormat="1" applyFont="1" applyFill="1" applyBorder="1" applyAlignment="1" applyProtection="1">
      <alignment horizontal="right" vertical="center"/>
      <protection locked="0"/>
    </xf>
    <xf numFmtId="0" fontId="9" fillId="3" borderId="6" xfId="0" applyFont="1" applyFill="1" applyBorder="1" applyAlignment="1" applyProtection="1">
      <alignment horizontal="center" vertical="center" wrapText="1"/>
      <protection locked="0"/>
    </xf>
    <xf numFmtId="0" fontId="6" fillId="4" borderId="6" xfId="0" applyFont="1" applyFill="1" applyBorder="1" applyAlignment="1" applyProtection="1">
      <alignment horizontal="right" vertical="center"/>
      <protection locked="0"/>
    </xf>
    <xf numFmtId="0" fontId="6" fillId="0" borderId="9" xfId="0" applyFont="1" applyBorder="1" applyAlignment="1">
      <alignment horizontal="center" vertical="center"/>
    </xf>
    <xf numFmtId="0" fontId="9" fillId="0" borderId="9" xfId="0" applyFont="1" applyBorder="1" applyAlignment="1">
      <alignment vertical="center"/>
    </xf>
    <xf numFmtId="0" fontId="9" fillId="0" borderId="9" xfId="0" applyFont="1" applyBorder="1" applyAlignment="1" applyProtection="1">
      <alignment horizontal="center" vertical="center"/>
      <protection locked="0"/>
    </xf>
    <xf numFmtId="2" fontId="9" fillId="0" borderId="9" xfId="0" applyNumberFormat="1" applyFont="1" applyBorder="1" applyAlignment="1" applyProtection="1">
      <alignment horizontal="center" vertical="center"/>
      <protection locked="0"/>
    </xf>
    <xf numFmtId="0" fontId="6" fillId="0" borderId="9" xfId="0" applyFont="1" applyBorder="1" applyAlignment="1" applyProtection="1">
      <alignment horizontal="left" vertical="center"/>
      <protection locked="0"/>
    </xf>
    <xf numFmtId="0" fontId="9" fillId="3" borderId="9"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right" vertical="center"/>
      <protection locked="0"/>
    </xf>
    <xf numFmtId="1" fontId="6" fillId="0" borderId="11" xfId="0" applyNumberFormat="1" applyFont="1" applyBorder="1" applyAlignment="1" applyProtection="1">
      <alignment horizontal="center" vertical="center"/>
      <protection locked="0"/>
    </xf>
    <xf numFmtId="0" fontId="4" fillId="0" borderId="9" xfId="0" applyFont="1" applyBorder="1" applyAlignment="1">
      <alignment horizontal="center" vertical="center" wrapText="1"/>
    </xf>
    <xf numFmtId="0" fontId="6" fillId="5" borderId="9" xfId="0" applyFont="1" applyFill="1" applyBorder="1" applyAlignment="1">
      <alignment horizontal="center" vertical="center"/>
    </xf>
    <xf numFmtId="0" fontId="6" fillId="5" borderId="9" xfId="0" applyFont="1" applyFill="1" applyBorder="1" applyAlignment="1">
      <alignment vertical="center"/>
    </xf>
    <xf numFmtId="0" fontId="6" fillId="5" borderId="9" xfId="0" applyFont="1" applyFill="1" applyBorder="1" applyAlignment="1" applyProtection="1">
      <alignment horizontal="center" vertical="center"/>
      <protection locked="0"/>
    </xf>
    <xf numFmtId="2" fontId="6" fillId="5" borderId="9" xfId="0" applyNumberFormat="1" applyFont="1" applyFill="1" applyBorder="1" applyAlignment="1">
      <alignment horizontal="center" vertical="center"/>
    </xf>
    <xf numFmtId="0" fontId="6" fillId="5" borderId="9" xfId="0" applyFont="1" applyFill="1" applyBorder="1" applyAlignment="1" applyProtection="1">
      <alignment horizontal="left" vertical="center"/>
      <protection locked="0"/>
    </xf>
    <xf numFmtId="0" fontId="6" fillId="3" borderId="9" xfId="0" applyFont="1" applyFill="1" applyBorder="1" applyAlignment="1" applyProtection="1">
      <alignment horizontal="center" vertical="center" wrapText="1"/>
      <protection locked="0"/>
    </xf>
    <xf numFmtId="1" fontId="6" fillId="5" borderId="11" xfId="0" applyNumberFormat="1" applyFont="1" applyFill="1" applyBorder="1" applyAlignment="1" applyProtection="1">
      <alignment horizontal="center" vertical="center"/>
      <protection locked="0"/>
    </xf>
    <xf numFmtId="1" fontId="6" fillId="6" borderId="8" xfId="0" applyNumberFormat="1" applyFont="1" applyFill="1" applyBorder="1" applyAlignment="1">
      <alignment horizontal="center" vertical="center"/>
    </xf>
    <xf numFmtId="0" fontId="6" fillId="6" borderId="9" xfId="0" applyFont="1" applyFill="1" applyBorder="1" applyAlignment="1">
      <alignment horizontal="center" vertical="center"/>
    </xf>
    <xf numFmtId="0" fontId="6" fillId="6" borderId="9" xfId="0" applyFont="1" applyFill="1" applyBorder="1" applyAlignment="1">
      <alignment vertical="center"/>
    </xf>
    <xf numFmtId="0" fontId="6" fillId="6" borderId="9" xfId="0" applyFont="1" applyFill="1" applyBorder="1" applyAlignment="1" applyProtection="1">
      <alignment horizontal="center" vertical="center"/>
      <protection locked="0"/>
    </xf>
    <xf numFmtId="0" fontId="6" fillId="6" borderId="9" xfId="0" applyFont="1" applyFill="1" applyBorder="1" applyAlignment="1" applyProtection="1">
      <alignment horizontal="left" vertical="center" wrapText="1"/>
      <protection locked="0"/>
    </xf>
    <xf numFmtId="0" fontId="6" fillId="4" borderId="9" xfId="0" applyFont="1" applyFill="1" applyBorder="1" applyAlignment="1">
      <alignment horizontal="right" vertical="center"/>
    </xf>
    <xf numFmtId="49" fontId="6" fillId="7" borderId="6" xfId="0" applyNumberFormat="1" applyFont="1" applyFill="1" applyBorder="1" applyAlignment="1">
      <alignment horizontal="center" vertical="center" wrapText="1"/>
    </xf>
    <xf numFmtId="0" fontId="10" fillId="7" borderId="6" xfId="0" applyFont="1" applyFill="1" applyBorder="1" applyAlignment="1">
      <alignment vertical="center" wrapText="1"/>
    </xf>
    <xf numFmtId="0" fontId="9" fillId="7" borderId="6" xfId="0" applyFont="1" applyFill="1" applyBorder="1" applyAlignment="1" applyProtection="1">
      <alignment horizontal="center" vertical="center"/>
      <protection locked="0"/>
    </xf>
    <xf numFmtId="2" fontId="9" fillId="7" borderId="6" xfId="0" applyNumberFormat="1" applyFont="1" applyFill="1" applyBorder="1" applyAlignment="1" applyProtection="1">
      <alignment horizontal="center" vertical="center"/>
      <protection locked="0"/>
    </xf>
    <xf numFmtId="0" fontId="6" fillId="7" borderId="6" xfId="0" applyFont="1" applyFill="1" applyBorder="1" applyAlignment="1" applyProtection="1">
      <alignment horizontal="left" vertical="center"/>
      <protection locked="0"/>
    </xf>
    <xf numFmtId="1" fontId="6" fillId="7" borderId="7" xfId="0" applyNumberFormat="1" applyFont="1" applyFill="1" applyBorder="1" applyAlignment="1" applyProtection="1">
      <alignment horizontal="center" vertical="center"/>
      <protection locked="0"/>
    </xf>
    <xf numFmtId="49" fontId="6" fillId="0" borderId="9" xfId="0" applyNumberFormat="1" applyFont="1" applyBorder="1" applyAlignment="1">
      <alignment horizontal="center" vertical="center"/>
    </xf>
    <xf numFmtId="0" fontId="4" fillId="7" borderId="9" xfId="0" applyFont="1" applyFill="1" applyBorder="1" applyAlignment="1">
      <alignment horizontal="center" vertical="center" wrapText="1"/>
    </xf>
    <xf numFmtId="49" fontId="6" fillId="5" borderId="9" xfId="0" applyNumberFormat="1" applyFont="1" applyFill="1" applyBorder="1" applyAlignment="1">
      <alignment horizontal="center" vertical="center" wrapText="1"/>
    </xf>
    <xf numFmtId="0" fontId="4" fillId="5" borderId="9" xfId="0" applyFont="1" applyFill="1" applyBorder="1" applyAlignment="1">
      <alignment horizontal="center" vertical="center" wrapText="1"/>
    </xf>
    <xf numFmtId="49" fontId="6" fillId="6" borderId="9" xfId="0" applyNumberFormat="1" applyFont="1" applyFill="1" applyBorder="1" applyAlignment="1">
      <alignment horizontal="center" vertical="center" wrapText="1"/>
    </xf>
    <xf numFmtId="0" fontId="4" fillId="6" borderId="9" xfId="0" applyFont="1" applyFill="1" applyBorder="1" applyAlignment="1">
      <alignment horizontal="center" vertical="center" wrapText="1"/>
    </xf>
    <xf numFmtId="164" fontId="9" fillId="2" borderId="6" xfId="0" applyNumberFormat="1" applyFont="1" applyFill="1" applyBorder="1" applyAlignment="1" applyProtection="1">
      <alignment horizontal="right" vertical="center"/>
      <protection locked="0"/>
    </xf>
    <xf numFmtId="0" fontId="6" fillId="7" borderId="9" xfId="0" applyFont="1" applyFill="1" applyBorder="1" applyAlignment="1">
      <alignment horizontal="center" vertical="center"/>
    </xf>
    <xf numFmtId="0" fontId="11" fillId="7" borderId="9" xfId="0" applyFont="1" applyFill="1" applyBorder="1" applyAlignment="1">
      <alignment vertical="center"/>
    </xf>
    <xf numFmtId="0" fontId="9" fillId="7" borderId="9" xfId="0" applyFont="1" applyFill="1" applyBorder="1" applyAlignment="1" applyProtection="1">
      <alignment horizontal="center" vertical="center"/>
      <protection locked="0"/>
    </xf>
    <xf numFmtId="2" fontId="9" fillId="7" borderId="9" xfId="0" applyNumberFormat="1" applyFont="1" applyFill="1" applyBorder="1" applyAlignment="1" applyProtection="1">
      <alignment horizontal="center" vertical="center"/>
      <protection locked="0"/>
    </xf>
    <xf numFmtId="164" fontId="9" fillId="2" borderId="9" xfId="0" applyNumberFormat="1" applyFont="1" applyFill="1" applyBorder="1" applyAlignment="1" applyProtection="1">
      <alignment horizontal="right" vertical="center"/>
      <protection locked="0"/>
    </xf>
    <xf numFmtId="0" fontId="6" fillId="7" borderId="9" xfId="0" applyFont="1" applyFill="1" applyBorder="1" applyAlignment="1" applyProtection="1">
      <alignment horizontal="left" vertical="center"/>
      <protection locked="0"/>
    </xf>
    <xf numFmtId="0" fontId="9" fillId="7" borderId="9" xfId="0" applyFont="1" applyFill="1" applyBorder="1" applyAlignment="1">
      <alignment vertical="center"/>
    </xf>
    <xf numFmtId="0" fontId="10" fillId="5" borderId="9" xfId="0" applyFont="1" applyFill="1" applyBorder="1" applyAlignment="1">
      <alignment vertical="center" wrapText="1"/>
    </xf>
    <xf numFmtId="0" fontId="10" fillId="6" borderId="9" xfId="0" applyFont="1" applyFill="1" applyBorder="1" applyAlignment="1">
      <alignment vertical="center" wrapText="1"/>
    </xf>
    <xf numFmtId="0" fontId="6" fillId="6" borderId="9" xfId="0" applyFont="1" applyFill="1" applyBorder="1" applyAlignment="1" applyProtection="1">
      <alignment horizontal="left" vertical="center"/>
      <protection locked="0"/>
    </xf>
    <xf numFmtId="1" fontId="6" fillId="6" borderId="11" xfId="0" applyNumberFormat="1" applyFont="1" applyFill="1" applyBorder="1" applyAlignment="1" applyProtection="1">
      <alignment horizontal="center" vertical="center"/>
      <protection locked="0"/>
    </xf>
    <xf numFmtId="49" fontId="6" fillId="8" borderId="9" xfId="0" applyNumberFormat="1" applyFont="1" applyFill="1" applyBorder="1" applyAlignment="1">
      <alignment horizontal="center" vertical="center" wrapText="1"/>
    </xf>
    <xf numFmtId="0" fontId="10" fillId="8" borderId="9" xfId="0" applyFont="1" applyFill="1" applyBorder="1" applyAlignment="1">
      <alignment vertical="center" wrapText="1"/>
    </xf>
    <xf numFmtId="0" fontId="6" fillId="8" borderId="9" xfId="0" applyFont="1" applyFill="1" applyBorder="1" applyAlignment="1" applyProtection="1">
      <alignment horizontal="center" vertical="center"/>
      <protection locked="0"/>
    </xf>
    <xf numFmtId="0" fontId="6" fillId="8" borderId="9" xfId="0" applyFont="1" applyFill="1" applyBorder="1" applyAlignment="1" applyProtection="1">
      <alignment horizontal="left" vertical="center"/>
      <protection locked="0"/>
    </xf>
    <xf numFmtId="0" fontId="13" fillId="3" borderId="9" xfId="0" applyFont="1" applyFill="1" applyBorder="1" applyAlignment="1" applyProtection="1">
      <alignment horizontal="center" vertical="center" wrapText="1"/>
      <protection locked="0"/>
    </xf>
    <xf numFmtId="1" fontId="6" fillId="8" borderId="11" xfId="0" applyNumberFormat="1" applyFont="1" applyFill="1" applyBorder="1" applyAlignment="1" applyProtection="1">
      <alignment horizontal="center" vertical="center"/>
      <protection locked="0"/>
    </xf>
    <xf numFmtId="0" fontId="2" fillId="7" borderId="6" xfId="0" applyFont="1" applyFill="1" applyBorder="1" applyAlignment="1">
      <alignment horizontal="center" vertical="center"/>
    </xf>
    <xf numFmtId="0" fontId="0" fillId="7" borderId="6" xfId="0" applyFill="1" applyBorder="1" applyAlignment="1">
      <alignment vertical="center"/>
    </xf>
    <xf numFmtId="0" fontId="0" fillId="7" borderId="6" xfId="0" applyFill="1" applyBorder="1" applyAlignment="1">
      <alignment horizontal="center" vertical="center"/>
    </xf>
    <xf numFmtId="0" fontId="0" fillId="2" borderId="6" xfId="0" applyFill="1" applyBorder="1" applyAlignment="1">
      <alignment horizontal="right" vertical="center"/>
    </xf>
    <xf numFmtId="0" fontId="2" fillId="7" borderId="6" xfId="0" applyFont="1" applyFill="1" applyBorder="1" applyAlignment="1">
      <alignment horizontal="left" vertical="center"/>
    </xf>
    <xf numFmtId="0" fontId="0" fillId="3" borderId="6" xfId="0" applyFill="1" applyBorder="1" applyAlignment="1">
      <alignment horizontal="center" vertical="center" wrapText="1"/>
    </xf>
    <xf numFmtId="165" fontId="2" fillId="4" borderId="6" xfId="0" applyNumberFormat="1" applyFont="1" applyFill="1" applyBorder="1" applyAlignment="1">
      <alignment horizontal="right" vertical="center"/>
    </xf>
    <xf numFmtId="0" fontId="2" fillId="7" borderId="7" xfId="0" applyFont="1" applyFill="1" applyBorder="1" applyAlignment="1">
      <alignment horizontal="center" vertical="center"/>
    </xf>
    <xf numFmtId="0" fontId="2" fillId="7" borderId="9" xfId="0" applyFont="1" applyFill="1" applyBorder="1" applyAlignment="1">
      <alignment horizontal="center" vertical="center"/>
    </xf>
    <xf numFmtId="0" fontId="15" fillId="7" borderId="9" xfId="0" applyFont="1" applyFill="1" applyBorder="1" applyAlignment="1">
      <alignment vertical="center"/>
    </xf>
    <xf numFmtId="0" fontId="0" fillId="7" borderId="9" xfId="0" applyFill="1" applyBorder="1" applyAlignment="1">
      <alignment horizontal="center" vertical="center"/>
    </xf>
    <xf numFmtId="0" fontId="0" fillId="7" borderId="9" xfId="0" applyFill="1" applyBorder="1" applyAlignment="1">
      <alignment vertical="center"/>
    </xf>
    <xf numFmtId="0" fontId="0" fillId="2" borderId="9" xfId="0" applyFill="1" applyBorder="1" applyAlignment="1">
      <alignment horizontal="right" vertical="center"/>
    </xf>
    <xf numFmtId="0" fontId="2" fillId="7" borderId="9" xfId="0" applyFont="1" applyFill="1" applyBorder="1" applyAlignment="1">
      <alignment horizontal="left" vertical="center"/>
    </xf>
    <xf numFmtId="0" fontId="0" fillId="3" borderId="9" xfId="0" applyFill="1" applyBorder="1" applyAlignment="1">
      <alignment horizontal="center" vertical="center" wrapText="1"/>
    </xf>
    <xf numFmtId="165" fontId="2" fillId="4" borderId="9" xfId="0" applyNumberFormat="1" applyFont="1" applyFill="1" applyBorder="1" applyAlignment="1">
      <alignment horizontal="right" vertical="center"/>
    </xf>
    <xf numFmtId="0" fontId="2" fillId="7" borderId="11"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9" xfId="0" applyFont="1" applyFill="1" applyBorder="1" applyAlignment="1">
      <alignment vertical="center"/>
    </xf>
    <xf numFmtId="0" fontId="2" fillId="5" borderId="9" xfId="0" applyFont="1" applyFill="1" applyBorder="1" applyAlignment="1">
      <alignment horizontal="left" vertical="center"/>
    </xf>
    <xf numFmtId="0" fontId="2" fillId="3" borderId="9" xfId="0" applyFont="1" applyFill="1" applyBorder="1" applyAlignment="1">
      <alignment horizontal="center" vertical="center" wrapText="1"/>
    </xf>
    <xf numFmtId="0" fontId="2" fillId="5" borderId="11"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9" xfId="0" applyFont="1" applyFill="1" applyBorder="1" applyAlignment="1">
      <alignment vertical="center"/>
    </xf>
    <xf numFmtId="0" fontId="2" fillId="6" borderId="9" xfId="0" applyFont="1" applyFill="1" applyBorder="1" applyAlignment="1">
      <alignment horizontal="left" vertical="center" wrapText="1"/>
    </xf>
    <xf numFmtId="0" fontId="2" fillId="6" borderId="11" xfId="0" applyFont="1" applyFill="1" applyBorder="1" applyAlignment="1">
      <alignment horizontal="center" vertical="center"/>
    </xf>
    <xf numFmtId="0" fontId="2" fillId="8" borderId="9" xfId="0" applyFont="1" applyFill="1" applyBorder="1" applyAlignment="1">
      <alignment horizontal="center" vertical="center"/>
    </xf>
    <xf numFmtId="0" fontId="2" fillId="8" borderId="9" xfId="0" applyFont="1" applyFill="1" applyBorder="1" applyAlignment="1">
      <alignment vertical="center"/>
    </xf>
    <xf numFmtId="0" fontId="17" fillId="8" borderId="9" xfId="0" applyFont="1" applyFill="1" applyBorder="1" applyAlignment="1">
      <alignment horizontal="left" vertical="center"/>
    </xf>
    <xf numFmtId="0" fontId="18" fillId="3" borderId="9" xfId="0" applyFont="1" applyFill="1" applyBorder="1" applyAlignment="1">
      <alignment horizontal="center" vertical="center" wrapText="1"/>
    </xf>
    <xf numFmtId="0" fontId="2" fillId="8" borderId="11" xfId="0" applyFont="1" applyFill="1" applyBorder="1" applyAlignment="1">
      <alignment horizontal="center" vertical="center"/>
    </xf>
    <xf numFmtId="167" fontId="2" fillId="2" borderId="9" xfId="0" applyNumberFormat="1" applyFont="1" applyFill="1" applyBorder="1" applyAlignment="1">
      <alignment horizontal="right" vertical="center"/>
    </xf>
    <xf numFmtId="0" fontId="0" fillId="4" borderId="6" xfId="0" applyFill="1" applyBorder="1" applyAlignment="1">
      <alignment horizontal="right" vertical="center"/>
    </xf>
    <xf numFmtId="0" fontId="3" fillId="0" borderId="9" xfId="0" applyFont="1" applyBorder="1" applyAlignment="1">
      <alignment vertical="center"/>
    </xf>
    <xf numFmtId="0" fontId="3" fillId="0" borderId="9" xfId="0" applyFont="1" applyBorder="1" applyAlignment="1">
      <alignment horizontal="center" vertical="center"/>
    </xf>
    <xf numFmtId="0" fontId="4" fillId="0" borderId="9" xfId="0" applyFont="1" applyBorder="1" applyAlignment="1">
      <alignment horizontal="left" vertical="center"/>
    </xf>
    <xf numFmtId="0" fontId="11" fillId="0" borderId="9" xfId="0" applyFont="1" applyBorder="1" applyAlignment="1" applyProtection="1">
      <alignment horizontal="center" vertical="center"/>
      <protection locked="0"/>
    </xf>
    <xf numFmtId="2" fontId="9" fillId="2" borderId="9" xfId="0" applyNumberFormat="1" applyFont="1" applyFill="1" applyBorder="1" applyAlignment="1" applyProtection="1">
      <alignment horizontal="right" vertical="center"/>
      <protection locked="0"/>
    </xf>
    <xf numFmtId="0" fontId="4" fillId="6" borderId="9" xfId="0" applyFont="1" applyFill="1" applyBorder="1" applyAlignment="1">
      <alignment horizontal="center" vertical="center"/>
    </xf>
    <xf numFmtId="0" fontId="4" fillId="6" borderId="9" xfId="0" applyFont="1" applyFill="1" applyBorder="1" applyAlignment="1">
      <alignment vertical="center"/>
    </xf>
    <xf numFmtId="167" fontId="4" fillId="2" borderId="9" xfId="0" applyNumberFormat="1" applyFont="1" applyFill="1" applyBorder="1" applyAlignment="1">
      <alignment horizontal="right" vertical="center"/>
    </xf>
    <xf numFmtId="0" fontId="4" fillId="6" borderId="9" xfId="0" applyFont="1" applyFill="1" applyBorder="1" applyAlignment="1">
      <alignment horizontal="left" vertical="center" wrapText="1"/>
    </xf>
    <xf numFmtId="0" fontId="4" fillId="3" borderId="9" xfId="0" applyFont="1" applyFill="1" applyBorder="1" applyAlignment="1">
      <alignment horizontal="center" vertical="center" wrapText="1"/>
    </xf>
    <xf numFmtId="0" fontId="6" fillId="7" borderId="6" xfId="0" applyFont="1" applyFill="1" applyBorder="1" applyAlignment="1">
      <alignment horizontal="center" vertical="center"/>
    </xf>
    <xf numFmtId="0" fontId="9" fillId="7" borderId="6" xfId="0" applyFont="1" applyFill="1" applyBorder="1" applyAlignment="1">
      <alignment vertical="center"/>
    </xf>
    <xf numFmtId="164" fontId="9" fillId="2" borderId="6" xfId="0" applyNumberFormat="1" applyFont="1" applyFill="1" applyBorder="1" applyAlignment="1">
      <alignment horizontal="right" vertical="center"/>
    </xf>
    <xf numFmtId="0" fontId="6" fillId="5" borderId="9" xfId="1" applyFont="1" applyFill="1" applyBorder="1" applyAlignment="1">
      <alignment horizontal="center" vertical="center"/>
    </xf>
    <xf numFmtId="0" fontId="6" fillId="6" borderId="9" xfId="1" applyFont="1" applyFill="1" applyBorder="1" applyAlignment="1">
      <alignment horizontal="center" vertical="center"/>
    </xf>
    <xf numFmtId="0" fontId="9" fillId="0" borderId="9" xfId="0" applyFont="1" applyBorder="1" applyAlignment="1">
      <alignment vertical="center" wrapText="1"/>
    </xf>
    <xf numFmtId="0" fontId="6" fillId="5" borderId="9" xfId="0" applyFont="1" applyFill="1" applyBorder="1" applyAlignment="1">
      <alignment vertical="center" wrapText="1"/>
    </xf>
    <xf numFmtId="0" fontId="6" fillId="6" borderId="9" xfId="0" applyFont="1" applyFill="1" applyBorder="1" applyAlignment="1">
      <alignment horizontal="center" vertical="center" wrapText="1"/>
    </xf>
    <xf numFmtId="0" fontId="6" fillId="6" borderId="9" xfId="0" applyFont="1" applyFill="1" applyBorder="1" applyAlignment="1">
      <alignment vertical="center" wrapText="1"/>
    </xf>
    <xf numFmtId="0" fontId="6" fillId="6" borderId="9" xfId="0" applyFont="1" applyFill="1" applyBorder="1" applyAlignment="1" applyProtection="1">
      <alignment horizontal="center" vertical="center" wrapText="1"/>
      <protection locked="0"/>
    </xf>
    <xf numFmtId="0" fontId="6" fillId="4" borderId="9" xfId="0" applyFont="1" applyFill="1" applyBorder="1" applyAlignment="1">
      <alignment horizontal="right" vertical="center" wrapText="1"/>
    </xf>
    <xf numFmtId="0" fontId="21" fillId="0" borderId="9" xfId="0" applyFont="1" applyBorder="1" applyAlignment="1">
      <alignment vertical="center" wrapText="1"/>
    </xf>
    <xf numFmtId="0" fontId="3" fillId="2" borderId="6" xfId="0" applyFont="1" applyFill="1" applyBorder="1" applyAlignment="1">
      <alignment horizontal="right" vertical="center"/>
    </xf>
    <xf numFmtId="0" fontId="3" fillId="3" borderId="6" xfId="0" applyFont="1" applyFill="1" applyBorder="1" applyAlignment="1">
      <alignment horizontal="center" vertical="center" wrapText="1"/>
    </xf>
    <xf numFmtId="0" fontId="3" fillId="4" borderId="6" xfId="0" applyFont="1" applyFill="1" applyBorder="1" applyAlignment="1">
      <alignment horizontal="right" vertical="center"/>
    </xf>
    <xf numFmtId="0" fontId="4" fillId="0" borderId="9" xfId="0" applyFont="1" applyBorder="1" applyAlignment="1">
      <alignment horizontal="center" vertical="center"/>
    </xf>
    <xf numFmtId="0" fontId="3" fillId="3" borderId="9" xfId="0" applyFont="1" applyFill="1" applyBorder="1" applyAlignment="1">
      <alignment horizontal="center" vertical="center" wrapText="1"/>
    </xf>
    <xf numFmtId="0" fontId="3" fillId="4" borderId="9" xfId="0" applyFont="1" applyFill="1" applyBorder="1" applyAlignment="1">
      <alignment horizontal="right" vertical="center"/>
    </xf>
    <xf numFmtId="0" fontId="4" fillId="0" borderId="11" xfId="0" applyFont="1" applyBorder="1" applyAlignment="1">
      <alignment horizontal="center" vertical="center"/>
    </xf>
    <xf numFmtId="0" fontId="4" fillId="5" borderId="9" xfId="0" applyFont="1" applyFill="1" applyBorder="1" applyAlignment="1">
      <alignment horizontal="center" vertical="center"/>
    </xf>
    <xf numFmtId="0" fontId="4" fillId="5" borderId="9" xfId="0" applyFont="1" applyFill="1" applyBorder="1" applyAlignment="1">
      <alignment vertical="center"/>
    </xf>
    <xf numFmtId="0" fontId="4" fillId="5" borderId="9" xfId="0" applyFont="1" applyFill="1" applyBorder="1" applyAlignment="1">
      <alignment horizontal="left" vertical="center"/>
    </xf>
    <xf numFmtId="0" fontId="4" fillId="5" borderId="11" xfId="0" applyFont="1" applyFill="1" applyBorder="1" applyAlignment="1">
      <alignment horizontal="center" vertical="center"/>
    </xf>
    <xf numFmtId="0" fontId="6" fillId="0" borderId="9" xfId="0" applyFont="1" applyBorder="1" applyAlignment="1" applyProtection="1">
      <alignment horizontal="center" vertical="center"/>
      <protection locked="0"/>
    </xf>
    <xf numFmtId="0" fontId="6" fillId="0" borderId="9" xfId="0" applyFont="1" applyBorder="1" applyAlignment="1" applyProtection="1">
      <alignment vertical="center"/>
      <protection locked="0"/>
    </xf>
    <xf numFmtId="0" fontId="3" fillId="7" borderId="6" xfId="0" applyFont="1" applyFill="1" applyBorder="1" applyAlignment="1">
      <alignment vertical="center"/>
    </xf>
    <xf numFmtId="0" fontId="3" fillId="7" borderId="6" xfId="0" applyFont="1" applyFill="1" applyBorder="1" applyAlignment="1">
      <alignment horizontal="center" vertical="center"/>
    </xf>
    <xf numFmtId="164" fontId="3" fillId="2" borderId="6" xfId="0" applyNumberFormat="1" applyFont="1" applyFill="1" applyBorder="1" applyAlignment="1">
      <alignment horizontal="right" vertical="center"/>
    </xf>
    <xf numFmtId="0" fontId="4" fillId="7" borderId="6" xfId="0" applyFont="1" applyFill="1" applyBorder="1" applyAlignment="1">
      <alignment horizontal="left" vertical="center"/>
    </xf>
    <xf numFmtId="1" fontId="6" fillId="7" borderId="11" xfId="0" applyNumberFormat="1" applyFont="1" applyFill="1" applyBorder="1" applyAlignment="1" applyProtection="1">
      <alignment horizontal="center" vertical="center"/>
      <protection locked="0"/>
    </xf>
    <xf numFmtId="0" fontId="6" fillId="3" borderId="6" xfId="0" applyFont="1" applyFill="1" applyBorder="1" applyAlignment="1" applyProtection="1">
      <alignment horizontal="center" vertical="center" wrapText="1"/>
      <protection locked="0"/>
    </xf>
    <xf numFmtId="0" fontId="5" fillId="0" borderId="9" xfId="0" applyFont="1" applyBorder="1" applyAlignment="1">
      <alignment horizontal="center" vertical="center"/>
    </xf>
    <xf numFmtId="0" fontId="9" fillId="0" borderId="9" xfId="2" applyFont="1" applyBorder="1" applyAlignment="1">
      <alignment horizontal="justify" vertical="center"/>
    </xf>
    <xf numFmtId="0" fontId="9" fillId="0" borderId="9" xfId="2" applyFont="1" applyBorder="1" applyAlignment="1">
      <alignment horizontal="center" vertical="center"/>
    </xf>
    <xf numFmtId="0" fontId="6" fillId="0" borderId="9" xfId="2" applyFont="1" applyBorder="1" applyAlignment="1">
      <alignment horizontal="left" vertical="center"/>
    </xf>
    <xf numFmtId="0" fontId="6" fillId="3" borderId="9" xfId="2" applyFont="1" applyFill="1" applyBorder="1" applyAlignment="1">
      <alignment horizontal="center" vertical="center" wrapText="1"/>
    </xf>
    <xf numFmtId="2" fontId="23" fillId="0" borderId="11" xfId="0" applyNumberFormat="1" applyFont="1" applyBorder="1" applyAlignment="1" applyProtection="1">
      <alignment horizontal="center" vertical="center"/>
      <protection locked="0"/>
    </xf>
    <xf numFmtId="2" fontId="9" fillId="2" borderId="6" xfId="2" applyNumberFormat="1" applyFont="1" applyFill="1" applyBorder="1" applyAlignment="1">
      <alignment horizontal="right" vertical="center"/>
    </xf>
    <xf numFmtId="0" fontId="6" fillId="3" borderId="6" xfId="2" applyFont="1" applyFill="1" applyBorder="1" applyAlignment="1">
      <alignment horizontal="center" vertical="center" wrapText="1"/>
    </xf>
    <xf numFmtId="0" fontId="6" fillId="4" borderId="6" xfId="2" applyFont="1" applyFill="1" applyBorder="1" applyAlignment="1">
      <alignment horizontal="right" vertical="center"/>
    </xf>
    <xf numFmtId="0" fontId="5" fillId="0" borderId="9" xfId="2" applyFont="1" applyBorder="1" applyAlignment="1">
      <alignment horizontal="center" vertical="center"/>
    </xf>
    <xf numFmtId="0" fontId="9" fillId="9" borderId="9" xfId="2" applyFont="1" applyFill="1" applyBorder="1" applyAlignment="1">
      <alignment horizontal="center" vertical="center" wrapText="1"/>
    </xf>
    <xf numFmtId="1" fontId="9" fillId="0" borderId="9" xfId="2" applyNumberFormat="1" applyFont="1" applyBorder="1" applyAlignment="1">
      <alignment horizontal="center" vertical="center" wrapText="1"/>
    </xf>
    <xf numFmtId="2" fontId="9" fillId="0" borderId="9" xfId="2" applyNumberFormat="1" applyFont="1" applyBorder="1" applyAlignment="1">
      <alignment horizontal="center" vertical="center" wrapText="1"/>
    </xf>
    <xf numFmtId="0" fontId="6" fillId="0" borderId="9" xfId="2" applyFont="1" applyBorder="1" applyAlignment="1">
      <alignment horizontal="left" vertical="center" wrapText="1"/>
    </xf>
    <xf numFmtId="0" fontId="6" fillId="4" borderId="9" xfId="1" applyFont="1" applyFill="1" applyBorder="1" applyAlignment="1">
      <alignment horizontal="right" vertical="center"/>
    </xf>
    <xf numFmtId="0" fontId="6" fillId="0" borderId="11" xfId="1" applyFont="1" applyBorder="1" applyAlignment="1">
      <alignment horizontal="center" vertical="center"/>
    </xf>
    <xf numFmtId="164" fontId="9" fillId="0" borderId="9" xfId="0" applyNumberFormat="1" applyFont="1" applyBorder="1" applyAlignment="1" applyProtection="1">
      <alignment horizontal="center" vertical="center"/>
      <protection locked="0"/>
    </xf>
    <xf numFmtId="164" fontId="6" fillId="5" borderId="9" xfId="0" applyNumberFormat="1" applyFont="1" applyFill="1" applyBorder="1" applyAlignment="1" applyProtection="1">
      <alignment horizontal="center" vertical="center"/>
      <protection locked="0"/>
    </xf>
    <xf numFmtId="0" fontId="4" fillId="7" borderId="9" xfId="0" applyFont="1" applyFill="1" applyBorder="1" applyAlignment="1">
      <alignment horizontal="center" vertical="center"/>
    </xf>
    <xf numFmtId="0" fontId="3" fillId="7" borderId="9" xfId="0" applyFont="1" applyFill="1" applyBorder="1" applyAlignment="1">
      <alignment vertical="center"/>
    </xf>
    <xf numFmtId="0" fontId="3" fillId="7" borderId="9" xfId="0" applyFont="1" applyFill="1" applyBorder="1" applyAlignment="1">
      <alignment horizontal="center" vertical="center"/>
    </xf>
    <xf numFmtId="0" fontId="4" fillId="7" borderId="9" xfId="0" applyFont="1" applyFill="1" applyBorder="1" applyAlignment="1">
      <alignment horizontal="left" vertical="center"/>
    </xf>
    <xf numFmtId="2" fontId="6" fillId="0" borderId="9" xfId="0" applyNumberFormat="1" applyFont="1" applyBorder="1" applyAlignment="1">
      <alignment horizontal="center" vertical="center"/>
    </xf>
    <xf numFmtId="0" fontId="9" fillId="0" borderId="9" xfId="0" applyFont="1" applyBorder="1" applyAlignment="1" applyProtection="1">
      <alignment vertical="center"/>
      <protection locked="0"/>
    </xf>
    <xf numFmtId="0" fontId="6" fillId="5" borderId="9" xfId="0" applyFont="1" applyFill="1" applyBorder="1" applyAlignment="1" applyProtection="1">
      <alignment vertical="center"/>
      <protection locked="0"/>
    </xf>
    <xf numFmtId="2" fontId="6" fillId="6" borderId="9" xfId="0" applyNumberFormat="1" applyFont="1" applyFill="1" applyBorder="1" applyAlignment="1">
      <alignment horizontal="center" vertical="center"/>
    </xf>
    <xf numFmtId="0" fontId="6" fillId="6" borderId="9" xfId="0" applyFont="1" applyFill="1" applyBorder="1" applyAlignment="1" applyProtection="1">
      <alignment vertical="center"/>
      <protection locked="0"/>
    </xf>
    <xf numFmtId="2" fontId="6" fillId="7" borderId="6" xfId="0" applyNumberFormat="1" applyFont="1" applyFill="1" applyBorder="1" applyAlignment="1">
      <alignment horizontal="center" vertical="center"/>
    </xf>
    <xf numFmtId="0" fontId="9" fillId="7" borderId="6" xfId="0" applyFont="1" applyFill="1" applyBorder="1" applyAlignment="1" applyProtection="1">
      <alignment vertical="center"/>
      <protection locked="0"/>
    </xf>
    <xf numFmtId="0" fontId="10" fillId="0" borderId="9" xfId="0" applyFont="1" applyBorder="1" applyAlignment="1">
      <alignment vertical="center" wrapText="1"/>
    </xf>
    <xf numFmtId="2" fontId="3" fillId="0" borderId="9" xfId="0" applyNumberFormat="1" applyFont="1" applyBorder="1" applyAlignment="1">
      <alignment vertical="center"/>
    </xf>
    <xf numFmtId="0" fontId="4" fillId="7" borderId="6" xfId="0" applyFont="1" applyFill="1" applyBorder="1" applyAlignment="1">
      <alignment horizontal="center" vertical="center"/>
    </xf>
    <xf numFmtId="0" fontId="4" fillId="7" borderId="7" xfId="0" applyFont="1" applyFill="1" applyBorder="1" applyAlignment="1">
      <alignment horizontal="center" vertical="center"/>
    </xf>
    <xf numFmtId="164" fontId="3" fillId="7" borderId="9" xfId="0" applyNumberFormat="1" applyFont="1" applyFill="1" applyBorder="1" applyAlignment="1">
      <alignment vertical="center"/>
    </xf>
    <xf numFmtId="0" fontId="4" fillId="7" borderId="11" xfId="0" applyFont="1" applyFill="1" applyBorder="1" applyAlignment="1">
      <alignment horizontal="center" vertical="center"/>
    </xf>
    <xf numFmtId="2" fontId="27" fillId="2" borderId="6" xfId="0" applyNumberFormat="1" applyFont="1" applyFill="1" applyBorder="1" applyAlignment="1">
      <alignment horizontal="right" vertical="center"/>
    </xf>
    <xf numFmtId="0" fontId="27" fillId="3" borderId="6" xfId="0" applyFont="1" applyFill="1" applyBorder="1" applyAlignment="1">
      <alignment horizontal="center" vertical="center" wrapText="1"/>
    </xf>
    <xf numFmtId="0" fontId="27" fillId="0" borderId="9" xfId="0" applyFont="1" applyBorder="1" applyAlignment="1">
      <alignment horizontal="center" vertical="center"/>
    </xf>
    <xf numFmtId="0" fontId="26" fillId="0" borderId="9" xfId="0" applyFont="1" applyBorder="1" applyAlignment="1">
      <alignment horizontal="right" vertical="center"/>
    </xf>
    <xf numFmtId="0" fontId="26" fillId="0" borderId="9" xfId="0" applyFont="1" applyBorder="1" applyAlignment="1">
      <alignment horizontal="center" vertical="center"/>
    </xf>
    <xf numFmtId="2" fontId="26" fillId="0" borderId="9" xfId="0" applyNumberFormat="1" applyFont="1" applyBorder="1" applyAlignment="1">
      <alignment horizontal="center" vertical="center"/>
    </xf>
    <xf numFmtId="0" fontId="27" fillId="0" borderId="9" xfId="0" applyFont="1" applyBorder="1" applyAlignment="1">
      <alignment horizontal="left" vertical="center"/>
    </xf>
    <xf numFmtId="0" fontId="27" fillId="3" borderId="9" xfId="0" applyFont="1" applyFill="1" applyBorder="1" applyAlignment="1">
      <alignment horizontal="center" vertical="center" wrapText="1"/>
    </xf>
    <xf numFmtId="0" fontId="27" fillId="5" borderId="9" xfId="0" applyFont="1" applyFill="1" applyBorder="1" applyAlignment="1">
      <alignment horizontal="center" vertical="center"/>
    </xf>
    <xf numFmtId="0" fontId="27" fillId="5" borderId="9" xfId="0" applyFont="1" applyFill="1" applyBorder="1" applyAlignment="1">
      <alignment horizontal="right" vertical="center"/>
    </xf>
    <xf numFmtId="0" fontId="27" fillId="5" borderId="9" xfId="0" applyFont="1" applyFill="1" applyBorder="1" applyAlignment="1">
      <alignment horizontal="left" vertical="center"/>
    </xf>
    <xf numFmtId="0" fontId="27" fillId="6" borderId="9" xfId="0" applyFont="1" applyFill="1" applyBorder="1" applyAlignment="1">
      <alignment horizontal="center" vertical="center"/>
    </xf>
    <xf numFmtId="0" fontId="27" fillId="6" borderId="9" xfId="0" applyFont="1" applyFill="1" applyBorder="1" applyAlignment="1">
      <alignment horizontal="right" vertical="center"/>
    </xf>
    <xf numFmtId="0" fontId="27" fillId="6" borderId="9" xfId="0" applyFont="1" applyFill="1" applyBorder="1" applyAlignment="1">
      <alignment horizontal="left" vertical="center" wrapText="1"/>
    </xf>
    <xf numFmtId="0" fontId="27" fillId="7" borderId="6" xfId="0" applyFont="1" applyFill="1" applyBorder="1" applyAlignment="1">
      <alignment horizontal="center" vertical="center"/>
    </xf>
    <xf numFmtId="0" fontId="26" fillId="7" borderId="6" xfId="0" applyFont="1" applyFill="1" applyBorder="1" applyAlignment="1">
      <alignment horizontal="right" vertical="center"/>
    </xf>
    <xf numFmtId="0" fontId="26" fillId="7" borderId="6" xfId="0" applyFont="1" applyFill="1" applyBorder="1" applyAlignment="1">
      <alignment horizontal="center" vertical="center"/>
    </xf>
    <xf numFmtId="2" fontId="26" fillId="7" borderId="6" xfId="0" applyNumberFormat="1" applyFont="1" applyFill="1" applyBorder="1" applyAlignment="1">
      <alignment horizontal="center" vertical="center"/>
    </xf>
    <xf numFmtId="164" fontId="27" fillId="2" borderId="6" xfId="0" applyNumberFormat="1" applyFont="1" applyFill="1" applyBorder="1" applyAlignment="1">
      <alignment horizontal="right" vertical="center"/>
    </xf>
    <xf numFmtId="0" fontId="27" fillId="7" borderId="6" xfId="0" applyFont="1" applyFill="1" applyBorder="1" applyAlignment="1">
      <alignment horizontal="left" vertical="center"/>
    </xf>
    <xf numFmtId="0" fontId="27" fillId="4" borderId="6" xfId="0" applyFont="1" applyFill="1" applyBorder="1" applyAlignment="1">
      <alignment horizontal="right" vertical="center"/>
    </xf>
    <xf numFmtId="0" fontId="27" fillId="4" borderId="9" xfId="0" applyFont="1" applyFill="1" applyBorder="1" applyAlignment="1">
      <alignment horizontal="right" vertical="center"/>
    </xf>
    <xf numFmtId="2" fontId="27" fillId="0" borderId="11" xfId="0" applyNumberFormat="1" applyFont="1" applyBorder="1" applyAlignment="1">
      <alignment horizontal="center" vertical="center"/>
    </xf>
    <xf numFmtId="0" fontId="9" fillId="0" borderId="9" xfId="0" applyFont="1" applyBorder="1" applyAlignment="1">
      <alignment horizontal="center" vertical="center" wrapText="1"/>
    </xf>
    <xf numFmtId="2" fontId="9" fillId="2" borderId="9" xfId="0" applyNumberFormat="1" applyFont="1" applyFill="1" applyBorder="1" applyAlignment="1">
      <alignment horizontal="right" vertical="center" wrapText="1"/>
    </xf>
    <xf numFmtId="0" fontId="9" fillId="3" borderId="9" xfId="0" applyFont="1" applyFill="1" applyBorder="1" applyAlignment="1">
      <alignment horizontal="center" vertical="center" wrapText="1"/>
    </xf>
    <xf numFmtId="1" fontId="6" fillId="0" borderId="11" xfId="0" applyNumberFormat="1" applyFont="1" applyBorder="1" applyAlignment="1">
      <alignment horizontal="center" vertical="center" wrapText="1"/>
    </xf>
    <xf numFmtId="0" fontId="6" fillId="0" borderId="9" xfId="0" applyFont="1" applyBorder="1" applyAlignment="1">
      <alignment horizontal="center" vertical="center" wrapText="1"/>
    </xf>
    <xf numFmtId="0" fontId="9" fillId="10" borderId="9" xfId="0" applyFont="1" applyFill="1" applyBorder="1" applyAlignment="1">
      <alignment horizontal="center" vertical="center" wrapText="1"/>
    </xf>
    <xf numFmtId="0" fontId="6" fillId="10" borderId="9" xfId="0" applyFont="1" applyFill="1" applyBorder="1" applyAlignment="1">
      <alignment horizontal="left" vertical="center" wrapText="1"/>
    </xf>
    <xf numFmtId="0" fontId="6" fillId="5" borderId="9" xfId="0" applyFont="1" applyFill="1" applyBorder="1" applyAlignment="1">
      <alignment horizontal="center" vertical="center" wrapText="1"/>
    </xf>
    <xf numFmtId="0" fontId="6" fillId="5" borderId="9" xfId="0" applyFont="1" applyFill="1" applyBorder="1" applyAlignment="1">
      <alignment horizontal="left" vertical="center" wrapText="1"/>
    </xf>
    <xf numFmtId="0" fontId="6" fillId="3" borderId="9" xfId="0" applyFont="1" applyFill="1" applyBorder="1" applyAlignment="1">
      <alignment horizontal="center" vertical="center" wrapText="1"/>
    </xf>
    <xf numFmtId="1" fontId="6" fillId="5" borderId="11" xfId="0" applyNumberFormat="1" applyFont="1" applyFill="1" applyBorder="1" applyAlignment="1">
      <alignment horizontal="center" vertical="center" wrapText="1"/>
    </xf>
    <xf numFmtId="0" fontId="6" fillId="6" borderId="9" xfId="0" applyFont="1" applyFill="1" applyBorder="1" applyAlignment="1">
      <alignment horizontal="left" vertical="center" wrapText="1"/>
    </xf>
    <xf numFmtId="0" fontId="6" fillId="7" borderId="6" xfId="0" applyFont="1" applyFill="1" applyBorder="1" applyAlignment="1">
      <alignment horizontal="center" vertical="center" wrapText="1"/>
    </xf>
    <xf numFmtId="0" fontId="9" fillId="7" borderId="6" xfId="0" applyFont="1" applyFill="1" applyBorder="1" applyAlignment="1">
      <alignment horizontal="center" vertical="center" wrapText="1"/>
    </xf>
    <xf numFmtId="2" fontId="9" fillId="2" borderId="6" xfId="0" applyNumberFormat="1" applyFont="1" applyFill="1" applyBorder="1" applyAlignment="1">
      <alignment horizontal="right" vertical="center" wrapText="1"/>
    </xf>
    <xf numFmtId="0" fontId="6" fillId="7" borderId="6" xfId="0" applyFont="1" applyFill="1" applyBorder="1" applyAlignment="1">
      <alignment horizontal="left" vertical="center" wrapText="1"/>
    </xf>
    <xf numFmtId="0" fontId="9" fillId="3" borderId="6" xfId="0" applyFont="1" applyFill="1" applyBorder="1" applyAlignment="1">
      <alignment horizontal="center" vertical="center" wrapText="1"/>
    </xf>
    <xf numFmtId="0" fontId="6" fillId="4" borderId="6" xfId="0" applyFont="1" applyFill="1" applyBorder="1" applyAlignment="1">
      <alignment horizontal="right" vertical="center" wrapText="1"/>
    </xf>
    <xf numFmtId="1" fontId="6" fillId="7" borderId="7" xfId="0" applyNumberFormat="1" applyFont="1" applyFill="1" applyBorder="1" applyAlignment="1">
      <alignment horizontal="center" vertical="center" wrapText="1"/>
    </xf>
    <xf numFmtId="2" fontId="9" fillId="2" borderId="6" xfId="0" applyNumberFormat="1" applyFont="1" applyFill="1" applyBorder="1" applyAlignment="1">
      <alignment horizontal="right" vertical="center"/>
    </xf>
    <xf numFmtId="0" fontId="6" fillId="4" borderId="6" xfId="0" applyFont="1" applyFill="1" applyBorder="1" applyAlignment="1">
      <alignment horizontal="right" vertical="center"/>
    </xf>
    <xf numFmtId="0" fontId="28" fillId="0" borderId="9" xfId="0" applyFont="1" applyBorder="1" applyAlignment="1">
      <alignment vertical="center" wrapText="1"/>
    </xf>
    <xf numFmtId="2" fontId="9" fillId="10" borderId="9" xfId="0" applyNumberFormat="1" applyFont="1" applyFill="1" applyBorder="1" applyAlignment="1">
      <alignment horizontal="center" vertical="center" wrapText="1"/>
    </xf>
    <xf numFmtId="0" fontId="9" fillId="0" borderId="9" xfId="0" applyFont="1" applyBorder="1" applyAlignment="1">
      <alignment horizontal="center" vertical="center"/>
    </xf>
    <xf numFmtId="0" fontId="6" fillId="0" borderId="9" xfId="0" applyFont="1" applyBorder="1" applyAlignment="1">
      <alignment horizontal="left" vertical="center"/>
    </xf>
    <xf numFmtId="1" fontId="6" fillId="0" borderId="11" xfId="0" applyNumberFormat="1" applyFont="1" applyBorder="1" applyAlignment="1">
      <alignment horizontal="center" vertical="center"/>
    </xf>
    <xf numFmtId="0" fontId="29" fillId="5" borderId="9" xfId="0" applyFont="1" applyFill="1" applyBorder="1" applyAlignment="1">
      <alignment vertical="center" wrapText="1"/>
    </xf>
    <xf numFmtId="0" fontId="6" fillId="5" borderId="9" xfId="0" applyFont="1" applyFill="1" applyBorder="1" applyAlignment="1">
      <alignment horizontal="left" vertical="center"/>
    </xf>
    <xf numFmtId="1" fontId="6" fillId="5" borderId="11" xfId="0" applyNumberFormat="1" applyFont="1" applyFill="1" applyBorder="1" applyAlignment="1">
      <alignment horizontal="center" vertical="center"/>
    </xf>
    <xf numFmtId="0" fontId="29" fillId="6" borderId="9" xfId="0" applyFont="1" applyFill="1" applyBorder="1" applyAlignment="1">
      <alignment vertical="center" wrapText="1"/>
    </xf>
    <xf numFmtId="0" fontId="28" fillId="7" borderId="6" xfId="0" applyFont="1" applyFill="1" applyBorder="1" applyAlignment="1">
      <alignment vertical="center" wrapText="1"/>
    </xf>
    <xf numFmtId="0" fontId="9" fillId="7" borderId="6" xfId="0" applyFont="1" applyFill="1" applyBorder="1" applyAlignment="1">
      <alignment horizontal="center" vertical="center"/>
    </xf>
    <xf numFmtId="2" fontId="9" fillId="7" borderId="6" xfId="0" applyNumberFormat="1" applyFont="1" applyFill="1" applyBorder="1" applyAlignment="1">
      <alignment horizontal="center" vertical="center"/>
    </xf>
    <xf numFmtId="0" fontId="6" fillId="7" borderId="6" xfId="0" applyFont="1" applyFill="1" applyBorder="1" applyAlignment="1">
      <alignment horizontal="left" vertical="center"/>
    </xf>
    <xf numFmtId="1" fontId="6" fillId="7" borderId="7" xfId="0" applyNumberFormat="1" applyFont="1" applyFill="1" applyBorder="1" applyAlignment="1">
      <alignment horizontal="center" vertical="center"/>
    </xf>
    <xf numFmtId="0" fontId="9" fillId="7" borderId="6" xfId="0" applyFont="1" applyFill="1" applyBorder="1" applyAlignment="1">
      <alignment horizontal="left" vertical="center" wrapText="1"/>
    </xf>
    <xf numFmtId="2" fontId="6" fillId="2" borderId="6" xfId="0" applyNumberFormat="1" applyFont="1" applyFill="1" applyBorder="1" applyAlignment="1">
      <alignment horizontal="right" vertical="center"/>
    </xf>
    <xf numFmtId="0" fontId="6" fillId="3" borderId="6" xfId="0" applyFont="1" applyFill="1" applyBorder="1" applyAlignment="1">
      <alignment horizontal="center" vertical="center" wrapText="1"/>
    </xf>
    <xf numFmtId="0" fontId="30" fillId="11" borderId="12" xfId="0" applyFont="1" applyFill="1" applyBorder="1" applyAlignment="1">
      <alignment horizontal="centerContinuous" vertical="center"/>
    </xf>
    <xf numFmtId="0" fontId="31" fillId="11" borderId="13" xfId="0" applyFont="1" applyFill="1" applyBorder="1" applyAlignment="1">
      <alignment horizontal="centerContinuous"/>
    </xf>
    <xf numFmtId="166" fontId="31" fillId="11" borderId="14" xfId="0" applyNumberFormat="1" applyFont="1" applyFill="1" applyBorder="1" applyAlignment="1">
      <alignment horizontal="center" vertical="center"/>
    </xf>
    <xf numFmtId="0" fontId="30" fillId="11" borderId="5" xfId="0" applyFont="1" applyFill="1" applyBorder="1" applyAlignment="1">
      <alignment horizontal="centerContinuous" vertical="center"/>
    </xf>
    <xf numFmtId="0" fontId="31" fillId="11" borderId="6" xfId="0" applyFont="1" applyFill="1" applyBorder="1" applyAlignment="1">
      <alignment horizontal="centerContinuous"/>
    </xf>
    <xf numFmtId="166" fontId="31" fillId="11" borderId="7" xfId="0" applyNumberFormat="1" applyFont="1" applyFill="1" applyBorder="1" applyAlignment="1">
      <alignment horizontal="center" vertical="center"/>
    </xf>
    <xf numFmtId="0" fontId="30" fillId="11" borderId="15" xfId="0" applyFont="1" applyFill="1" applyBorder="1" applyAlignment="1">
      <alignment horizontal="centerContinuous" vertical="center"/>
    </xf>
    <xf numFmtId="0" fontId="31" fillId="11" borderId="16" xfId="0" applyFont="1" applyFill="1" applyBorder="1" applyAlignment="1">
      <alignment horizontal="centerContinuous"/>
    </xf>
    <xf numFmtId="166" fontId="31" fillId="11" borderId="17" xfId="0" applyNumberFormat="1" applyFont="1" applyFill="1" applyBorder="1" applyAlignment="1">
      <alignment horizontal="center" vertical="center"/>
    </xf>
    <xf numFmtId="0" fontId="17" fillId="0" borderId="0" xfId="0" applyFont="1" applyAlignment="1">
      <alignment horizontal="centerContinuous" vertical="center"/>
    </xf>
    <xf numFmtId="0" fontId="2" fillId="0" borderId="0" xfId="0" applyFont="1" applyAlignment="1">
      <alignment horizontal="centerContinuous"/>
    </xf>
    <xf numFmtId="0" fontId="2" fillId="0" borderId="0" xfId="0" applyFont="1" applyAlignment="1">
      <alignment horizontal="center" vertical="center"/>
    </xf>
    <xf numFmtId="0" fontId="13" fillId="6" borderId="9" xfId="0" applyFont="1" applyFill="1" applyBorder="1" applyAlignment="1">
      <alignment horizontal="center" vertical="center" wrapText="1"/>
    </xf>
    <xf numFmtId="2" fontId="6" fillId="2" borderId="9" xfId="0" applyNumberFormat="1" applyFont="1" applyFill="1" applyBorder="1" applyAlignment="1" applyProtection="1">
      <alignment horizontal="right" vertical="center"/>
    </xf>
    <xf numFmtId="164" fontId="9" fillId="2" borderId="9" xfId="0" applyNumberFormat="1" applyFont="1" applyFill="1" applyBorder="1" applyAlignment="1" applyProtection="1">
      <alignment horizontal="right" vertical="center"/>
    </xf>
    <xf numFmtId="0" fontId="6" fillId="5" borderId="9" xfId="0" applyFont="1" applyFill="1" applyBorder="1" applyAlignment="1" applyProtection="1">
      <alignment horizontal="center" vertical="center"/>
    </xf>
    <xf numFmtId="0" fontId="6" fillId="6" borderId="9" xfId="0" applyFont="1" applyFill="1" applyBorder="1" applyAlignment="1" applyProtection="1">
      <alignment horizontal="center" vertical="center"/>
    </xf>
    <xf numFmtId="0" fontId="6" fillId="5" borderId="9" xfId="0" applyFont="1" applyFill="1" applyBorder="1" applyAlignment="1" applyProtection="1">
      <alignment horizontal="center" vertical="center" wrapText="1"/>
    </xf>
    <xf numFmtId="0" fontId="6" fillId="6" borderId="9" xfId="0" applyFont="1" applyFill="1" applyBorder="1" applyAlignment="1" applyProtection="1">
      <alignment horizontal="center" vertical="center" wrapText="1"/>
    </xf>
    <xf numFmtId="2" fontId="6" fillId="5" borderId="9" xfId="0" applyNumberFormat="1" applyFont="1" applyFill="1" applyBorder="1" applyAlignment="1" applyProtection="1">
      <alignment horizontal="center" vertical="center"/>
    </xf>
    <xf numFmtId="2" fontId="6" fillId="6" borderId="9" xfId="0" applyNumberFormat="1" applyFont="1" applyFill="1" applyBorder="1" applyAlignment="1" applyProtection="1">
      <alignment horizontal="center" vertical="center"/>
    </xf>
    <xf numFmtId="0" fontId="4" fillId="5" borderId="9" xfId="0" applyFont="1" applyFill="1" applyBorder="1" applyAlignment="1" applyProtection="1">
      <alignment horizontal="center" vertical="center"/>
    </xf>
    <xf numFmtId="0" fontId="4" fillId="6" borderId="9" xfId="0" applyFont="1" applyFill="1" applyBorder="1" applyAlignment="1" applyProtection="1">
      <alignment horizontal="center" vertical="center"/>
    </xf>
    <xf numFmtId="2" fontId="27" fillId="5" borderId="9" xfId="0" applyNumberFormat="1" applyFont="1" applyFill="1" applyBorder="1" applyAlignment="1" applyProtection="1">
      <alignment horizontal="center" vertical="center"/>
    </xf>
    <xf numFmtId="0" fontId="27" fillId="6" borderId="9" xfId="0" applyFont="1" applyFill="1" applyBorder="1" applyAlignment="1" applyProtection="1">
      <alignment horizontal="center" vertical="center"/>
    </xf>
    <xf numFmtId="164" fontId="6" fillId="6" borderId="9" xfId="0" applyNumberFormat="1" applyFont="1" applyFill="1" applyBorder="1" applyAlignment="1" applyProtection="1">
      <alignment horizontal="center" vertical="center"/>
    </xf>
    <xf numFmtId="2" fontId="6" fillId="6" borderId="9" xfId="0" applyNumberFormat="1" applyFont="1" applyFill="1" applyBorder="1" applyAlignment="1" applyProtection="1">
      <alignment horizontal="center" vertical="center" wrapText="1"/>
    </xf>
    <xf numFmtId="0" fontId="6" fillId="5" borderId="9"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20" fillId="8" borderId="9" xfId="0" applyFont="1" applyFill="1" applyBorder="1" applyAlignment="1" applyProtection="1">
      <alignment horizontal="center" vertical="center" wrapText="1"/>
    </xf>
    <xf numFmtId="0" fontId="2" fillId="5" borderId="9" xfId="0" applyFont="1" applyFill="1" applyBorder="1" applyAlignment="1" applyProtection="1">
      <alignment horizontal="center" vertical="center"/>
    </xf>
    <xf numFmtId="0" fontId="2" fillId="6" borderId="9" xfId="0" applyFont="1" applyFill="1" applyBorder="1" applyAlignment="1" applyProtection="1">
      <alignment horizontal="center" vertical="center"/>
    </xf>
    <xf numFmtId="0" fontId="16" fillId="8" borderId="9" xfId="0" applyFont="1" applyFill="1" applyBorder="1" applyAlignment="1" applyProtection="1">
      <alignment horizontal="center" vertical="center" wrapText="1"/>
    </xf>
    <xf numFmtId="0" fontId="12" fillId="8" borderId="9"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6" borderId="9" xfId="0" applyFont="1" applyFill="1" applyBorder="1" applyAlignment="1" applyProtection="1">
      <alignment horizontal="center" vertical="center" wrapText="1"/>
    </xf>
    <xf numFmtId="49" fontId="6" fillId="0" borderId="9" xfId="0" applyNumberFormat="1" applyFont="1" applyFill="1" applyBorder="1" applyAlignment="1">
      <alignment horizontal="center" vertical="center"/>
    </xf>
    <xf numFmtId="0" fontId="9" fillId="0" borderId="10" xfId="0" applyFont="1" applyFill="1" applyBorder="1" applyAlignment="1">
      <alignment horizontal="center" vertical="center"/>
    </xf>
    <xf numFmtId="0" fontId="9" fillId="0" borderId="6" xfId="0" applyFont="1" applyFill="1" applyBorder="1" applyAlignment="1">
      <alignment horizontal="center" vertical="center"/>
    </xf>
    <xf numFmtId="0" fontId="6" fillId="0" borderId="6" xfId="0" applyFont="1" applyFill="1" applyBorder="1" applyAlignment="1">
      <alignment horizontal="left" vertical="center"/>
    </xf>
    <xf numFmtId="1" fontId="6" fillId="0" borderId="7" xfId="0" applyNumberFormat="1" applyFont="1" applyFill="1" applyBorder="1" applyAlignment="1">
      <alignment horizontal="center" vertical="center"/>
    </xf>
    <xf numFmtId="0" fontId="3" fillId="0" borderId="0" xfId="0" applyFont="1" applyFill="1"/>
    <xf numFmtId="0" fontId="6" fillId="0" borderId="9" xfId="0" applyFont="1" applyFill="1" applyBorder="1" applyAlignment="1">
      <alignment horizontal="left" vertical="center" wrapText="1"/>
    </xf>
    <xf numFmtId="49" fontId="6" fillId="0" borderId="9" xfId="0" applyNumberFormat="1" applyFont="1" applyFill="1" applyBorder="1" applyAlignment="1">
      <alignment horizontal="center" vertical="center" wrapText="1"/>
    </xf>
    <xf numFmtId="0" fontId="9" fillId="0" borderId="9" xfId="0" applyFont="1" applyFill="1" applyBorder="1" applyAlignment="1">
      <alignment horizontal="center" vertical="center" wrapText="1"/>
    </xf>
    <xf numFmtId="1" fontId="6" fillId="0" borderId="11" xfId="0" applyNumberFormat="1" applyFont="1" applyFill="1" applyBorder="1" applyAlignment="1">
      <alignment horizontal="center" vertical="center" wrapText="1"/>
    </xf>
    <xf numFmtId="0" fontId="3" fillId="0" borderId="10" xfId="0" applyFont="1" applyFill="1" applyBorder="1" applyAlignment="1">
      <alignment horizontal="center" vertical="center"/>
    </xf>
    <xf numFmtId="0" fontId="3" fillId="0" borderId="6" xfId="0" applyFont="1" applyFill="1" applyBorder="1" applyAlignment="1">
      <alignment vertical="center"/>
    </xf>
    <xf numFmtId="0" fontId="4" fillId="0" borderId="6" xfId="0" applyFont="1" applyFill="1" applyBorder="1" applyAlignment="1">
      <alignment horizontal="left" vertical="center"/>
    </xf>
    <xf numFmtId="0" fontId="4" fillId="0" borderId="7" xfId="0" applyFont="1" applyFill="1" applyBorder="1" applyAlignment="1">
      <alignment horizontal="center" vertical="center"/>
    </xf>
    <xf numFmtId="0" fontId="9" fillId="0" borderId="10"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2" fontId="9" fillId="0" borderId="6" xfId="0" applyNumberFormat="1" applyFont="1" applyFill="1" applyBorder="1" applyAlignment="1" applyProtection="1">
      <alignment horizontal="center" vertical="center"/>
      <protection locked="0"/>
    </xf>
    <xf numFmtId="0" fontId="6" fillId="0" borderId="6" xfId="0" applyFont="1" applyFill="1" applyBorder="1" applyAlignment="1" applyProtection="1">
      <alignment horizontal="left" vertical="center"/>
      <protection locked="0"/>
    </xf>
    <xf numFmtId="1" fontId="6" fillId="0" borderId="7" xfId="0" applyNumberFormat="1" applyFont="1" applyFill="1" applyBorder="1" applyAlignment="1" applyProtection="1">
      <alignment horizontal="center" vertical="center"/>
      <protection locked="0"/>
    </xf>
    <xf numFmtId="0" fontId="26" fillId="0" borderId="10" xfId="0" applyFont="1" applyFill="1" applyBorder="1" applyAlignment="1">
      <alignment horizontal="center" vertical="center"/>
    </xf>
    <xf numFmtId="0" fontId="26" fillId="0" borderId="6" xfId="0" applyFont="1" applyFill="1" applyBorder="1" applyAlignment="1">
      <alignment horizontal="center" vertical="center"/>
    </xf>
    <xf numFmtId="2" fontId="26" fillId="0" borderId="6" xfId="0" applyNumberFormat="1" applyFont="1" applyFill="1" applyBorder="1" applyAlignment="1">
      <alignment horizontal="center" vertical="center"/>
    </xf>
    <xf numFmtId="0" fontId="27" fillId="0" borderId="6" xfId="0" applyFont="1" applyFill="1" applyBorder="1" applyAlignment="1">
      <alignment horizontal="left" vertical="center"/>
    </xf>
    <xf numFmtId="2" fontId="27" fillId="0" borderId="7" xfId="0" applyNumberFormat="1" applyFont="1" applyFill="1" applyBorder="1" applyAlignment="1">
      <alignment horizontal="center" vertical="center"/>
    </xf>
    <xf numFmtId="164" fontId="9" fillId="0" borderId="6" xfId="0" applyNumberFormat="1" applyFont="1" applyFill="1" applyBorder="1" applyAlignment="1" applyProtection="1">
      <alignment horizontal="center" vertical="center"/>
      <protection locked="0"/>
    </xf>
    <xf numFmtId="49" fontId="6" fillId="0" borderId="9" xfId="2" applyNumberFormat="1" applyFont="1" applyFill="1" applyBorder="1" applyAlignment="1">
      <alignment horizontal="center" vertical="center"/>
    </xf>
    <xf numFmtId="0" fontId="9" fillId="0" borderId="10" xfId="2" applyFont="1" applyFill="1" applyBorder="1" applyAlignment="1">
      <alignment horizontal="center" vertical="center"/>
    </xf>
    <xf numFmtId="2" fontId="9" fillId="0" borderId="6" xfId="2" applyNumberFormat="1" applyFont="1" applyFill="1" applyBorder="1" applyAlignment="1">
      <alignment vertical="center"/>
    </xf>
    <xf numFmtId="0" fontId="9" fillId="0" borderId="6" xfId="2" applyFont="1" applyFill="1" applyBorder="1" applyAlignment="1">
      <alignment vertical="center"/>
    </xf>
    <xf numFmtId="0" fontId="9" fillId="0" borderId="6" xfId="2" applyFont="1" applyFill="1" applyBorder="1" applyAlignment="1">
      <alignment horizontal="center" vertical="center"/>
    </xf>
    <xf numFmtId="0" fontId="6" fillId="0" borderId="6" xfId="2" applyFont="1" applyFill="1" applyBorder="1" applyAlignment="1">
      <alignment horizontal="left" vertical="center"/>
    </xf>
    <xf numFmtId="0" fontId="6" fillId="0" borderId="7" xfId="2" applyFont="1" applyFill="1" applyBorder="1" applyAlignment="1">
      <alignment horizontal="center" vertical="center"/>
    </xf>
    <xf numFmtId="2" fontId="23" fillId="0" borderId="7" xfId="0" applyNumberFormat="1" applyFont="1" applyFill="1" applyBorder="1" applyAlignment="1" applyProtection="1">
      <alignment horizontal="center" vertical="center"/>
      <protection locked="0"/>
    </xf>
    <xf numFmtId="49" fontId="6" fillId="0" borderId="9" xfId="0" applyNumberFormat="1" applyFont="1" applyFill="1" applyBorder="1" applyAlignment="1" applyProtection="1">
      <alignment horizontal="center" vertical="center"/>
      <protection locked="0"/>
    </xf>
    <xf numFmtId="0" fontId="6" fillId="0" borderId="10" xfId="0" applyFont="1" applyFill="1" applyBorder="1" applyAlignment="1" applyProtection="1">
      <alignment horizontal="center" vertical="center"/>
      <protection locked="0"/>
    </xf>
    <xf numFmtId="2" fontId="9" fillId="0" borderId="6" xfId="0" applyNumberFormat="1" applyFont="1" applyFill="1" applyBorder="1" applyAlignment="1" applyProtection="1">
      <alignment horizontal="center" vertical="center" wrapText="1"/>
      <protection locked="0"/>
    </xf>
    <xf numFmtId="0" fontId="5" fillId="0" borderId="3"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2" fontId="5" fillId="0" borderId="3" xfId="0" applyNumberFormat="1" applyFont="1" applyFill="1" applyBorder="1" applyAlignment="1">
      <alignment horizontal="center" vertical="center" wrapText="1"/>
    </xf>
    <xf numFmtId="1" fontId="5" fillId="0" borderId="4" xfId="0" applyNumberFormat="1" applyFont="1" applyFill="1" applyBorder="1" applyAlignment="1">
      <alignment horizontal="center" vertical="center" wrapText="1"/>
    </xf>
    <xf numFmtId="0" fontId="7" fillId="0" borderId="9" xfId="0" applyFont="1" applyFill="1" applyBorder="1" applyAlignment="1">
      <alignment vertical="center" wrapText="1"/>
    </xf>
    <xf numFmtId="0" fontId="21" fillId="0" borderId="9" xfId="0" applyFont="1" applyFill="1" applyBorder="1" applyAlignment="1">
      <alignment vertical="center" wrapText="1"/>
    </xf>
    <xf numFmtId="0" fontId="7" fillId="0" borderId="9" xfId="0" applyFont="1" applyFill="1" applyBorder="1" applyAlignment="1" applyProtection="1">
      <alignment vertical="center" wrapText="1"/>
      <protection locked="0"/>
    </xf>
    <xf numFmtId="0" fontId="7" fillId="0" borderId="9" xfId="2" applyFont="1" applyFill="1" applyBorder="1" applyAlignment="1">
      <alignment vertical="center" wrapText="1"/>
    </xf>
    <xf numFmtId="0" fontId="7" fillId="0" borderId="9" xfId="0" applyFont="1" applyFill="1" applyBorder="1" applyAlignment="1">
      <alignment horizontal="right" vertical="center" wrapText="1"/>
    </xf>
    <xf numFmtId="0" fontId="7" fillId="0" borderId="9"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0" fillId="0" borderId="0" xfId="0" applyFont="1"/>
    <xf numFmtId="0" fontId="32" fillId="0" borderId="0" xfId="0" applyNumberFormat="1" applyFont="1" applyAlignment="1">
      <alignment horizontal="right" vertical="center" wrapText="1"/>
    </xf>
    <xf numFmtId="0" fontId="32" fillId="0" borderId="0" xfId="0" applyNumberFormat="1" applyFont="1" applyAlignment="1">
      <alignment horizontal="centerContinuous" vertical="center" wrapText="1"/>
    </xf>
    <xf numFmtId="0" fontId="33" fillId="0" borderId="0" xfId="0" applyNumberFormat="1" applyFont="1" applyAlignment="1">
      <alignment horizontal="centerContinuous"/>
    </xf>
    <xf numFmtId="166" fontId="6" fillId="6" borderId="11" xfId="0" applyNumberFormat="1" applyFont="1" applyFill="1" applyBorder="1" applyAlignment="1" applyProtection="1">
      <alignment horizontal="center" vertical="center"/>
    </xf>
    <xf numFmtId="166" fontId="6" fillId="6" borderId="11" xfId="0" applyNumberFormat="1" applyFont="1" applyFill="1" applyBorder="1" applyAlignment="1" applyProtection="1">
      <alignment horizontal="center" vertical="center" wrapText="1"/>
    </xf>
    <xf numFmtId="166" fontId="4" fillId="6" borderId="11" xfId="0" applyNumberFormat="1" applyFont="1" applyFill="1" applyBorder="1" applyAlignment="1" applyProtection="1">
      <alignment horizontal="center" vertical="center"/>
    </xf>
    <xf numFmtId="165" fontId="6" fillId="4" borderId="9" xfId="0" applyNumberFormat="1" applyFont="1" applyFill="1" applyBorder="1" applyAlignment="1" applyProtection="1">
      <alignment horizontal="right" vertical="center"/>
    </xf>
    <xf numFmtId="0" fontId="6" fillId="4" borderId="9" xfId="0" applyFont="1" applyFill="1" applyBorder="1" applyAlignment="1" applyProtection="1">
      <alignment horizontal="right" vertical="center"/>
    </xf>
    <xf numFmtId="0" fontId="6" fillId="4" borderId="9" xfId="0" applyFont="1" applyFill="1" applyBorder="1" applyAlignment="1" applyProtection="1">
      <alignment horizontal="right" vertical="center" wrapText="1"/>
    </xf>
    <xf numFmtId="165" fontId="4" fillId="4" borderId="9" xfId="0" applyNumberFormat="1" applyFont="1" applyFill="1" applyBorder="1" applyAlignment="1" applyProtection="1">
      <alignment horizontal="right" vertical="center"/>
    </xf>
    <xf numFmtId="0" fontId="4" fillId="4" borderId="9" xfId="0" applyFont="1" applyFill="1" applyBorder="1" applyAlignment="1" applyProtection="1">
      <alignment horizontal="right" vertical="center"/>
    </xf>
    <xf numFmtId="165" fontId="6" fillId="4" borderId="9" xfId="0" applyNumberFormat="1" applyFont="1" applyFill="1" applyBorder="1" applyAlignment="1" applyProtection="1">
      <alignment horizontal="right" vertical="center" wrapText="1"/>
    </xf>
    <xf numFmtId="164" fontId="6" fillId="2" borderId="9" xfId="0" applyNumberFormat="1" applyFont="1" applyFill="1" applyBorder="1" applyAlignment="1" applyProtection="1">
      <alignment horizontal="right" vertical="center"/>
    </xf>
    <xf numFmtId="164" fontId="0" fillId="2" borderId="9" xfId="0" applyNumberForma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4" fontId="6" fillId="2" borderId="9" xfId="0" applyNumberFormat="1" applyFont="1" applyFill="1" applyBorder="1" applyAlignment="1" applyProtection="1">
      <alignment horizontal="right" vertical="center" wrapText="1"/>
    </xf>
    <xf numFmtId="164" fontId="4" fillId="2" borderId="9" xfId="0" applyNumberFormat="1" applyFont="1" applyFill="1" applyBorder="1" applyAlignment="1" applyProtection="1">
      <alignment horizontal="right" vertical="center"/>
    </xf>
    <xf numFmtId="164" fontId="9" fillId="2" borderId="9" xfId="2" applyNumberFormat="1" applyFont="1" applyFill="1" applyBorder="1" applyAlignment="1" applyProtection="1">
      <alignment horizontal="right" vertical="center"/>
    </xf>
    <xf numFmtId="164" fontId="9" fillId="2" borderId="9" xfId="2" applyNumberFormat="1" applyFont="1" applyFill="1" applyBorder="1" applyAlignment="1" applyProtection="1">
      <alignment horizontal="right" vertical="center" wrapText="1"/>
    </xf>
    <xf numFmtId="164" fontId="27" fillId="2" borderId="9" xfId="0" applyNumberFormat="1" applyFont="1" applyFill="1" applyBorder="1" applyAlignment="1" applyProtection="1">
      <alignment horizontal="right" vertical="center"/>
    </xf>
    <xf numFmtId="164" fontId="9" fillId="2" borderId="9" xfId="0" applyNumberFormat="1" applyFont="1" applyFill="1" applyBorder="1" applyAlignment="1" applyProtection="1">
      <alignment horizontal="right" vertical="center" wrapText="1"/>
    </xf>
    <xf numFmtId="2" fontId="6" fillId="2" borderId="9" xfId="0" applyNumberFormat="1" applyFont="1" applyFill="1" applyBorder="1" applyAlignment="1" applyProtection="1">
      <alignment horizontal="right" vertical="center" wrapText="1"/>
    </xf>
    <xf numFmtId="1" fontId="6" fillId="0" borderId="8" xfId="0" applyNumberFormat="1" applyFont="1" applyBorder="1" applyAlignment="1" applyProtection="1">
      <alignment horizontal="center" vertical="center"/>
    </xf>
    <xf numFmtId="1" fontId="6" fillId="5" borderId="8" xfId="0" applyNumberFormat="1" applyFont="1" applyFill="1" applyBorder="1" applyAlignment="1" applyProtection="1">
      <alignment horizontal="center" vertical="center"/>
    </xf>
    <xf numFmtId="1" fontId="6" fillId="6" borderId="8" xfId="0" applyNumberFormat="1" applyFont="1" applyFill="1" applyBorder="1" applyAlignment="1" applyProtection="1">
      <alignment horizontal="center" vertical="center"/>
    </xf>
    <xf numFmtId="1" fontId="6" fillId="7" borderId="5" xfId="0" applyNumberFormat="1" applyFont="1" applyFill="1" applyBorder="1" applyAlignment="1" applyProtection="1">
      <alignment horizontal="center" vertical="center"/>
    </xf>
    <xf numFmtId="1" fontId="6" fillId="0" borderId="8" xfId="0" applyNumberFormat="1" applyFont="1" applyFill="1" applyBorder="1" applyAlignment="1" applyProtection="1">
      <alignment horizontal="center" vertical="center"/>
    </xf>
    <xf numFmtId="1" fontId="6" fillId="8" borderId="8" xfId="0" applyNumberFormat="1" applyFont="1" applyFill="1" applyBorder="1" applyAlignment="1" applyProtection="1">
      <alignment horizontal="center" vertical="center"/>
    </xf>
    <xf numFmtId="1" fontId="14" fillId="7" borderId="5" xfId="0" applyNumberFormat="1" applyFont="1" applyFill="1" applyBorder="1" applyAlignment="1" applyProtection="1">
      <alignment horizontal="center" vertical="center"/>
    </xf>
    <xf numFmtId="1" fontId="14" fillId="7" borderId="8" xfId="0" applyNumberFormat="1" applyFont="1" applyFill="1" applyBorder="1" applyAlignment="1" applyProtection="1">
      <alignment horizontal="center" vertical="center"/>
    </xf>
    <xf numFmtId="1" fontId="14" fillId="5" borderId="8" xfId="0" applyNumberFormat="1" applyFont="1" applyFill="1" applyBorder="1" applyAlignment="1" applyProtection="1">
      <alignment horizontal="center" vertical="center"/>
    </xf>
    <xf numFmtId="1" fontId="14" fillId="6" borderId="8" xfId="0" applyNumberFormat="1" applyFont="1" applyFill="1" applyBorder="1" applyAlignment="1" applyProtection="1">
      <alignment horizontal="center" vertical="center"/>
    </xf>
    <xf numFmtId="165" fontId="2" fillId="4" borderId="9" xfId="0" applyNumberFormat="1" applyFont="1" applyFill="1" applyBorder="1" applyAlignment="1" applyProtection="1">
      <alignment horizontal="right" vertical="center"/>
    </xf>
    <xf numFmtId="0" fontId="2" fillId="4" borderId="9" xfId="0" applyFont="1" applyFill="1" applyBorder="1" applyAlignment="1" applyProtection="1">
      <alignment horizontal="right" vertical="center"/>
    </xf>
    <xf numFmtId="1" fontId="14" fillId="8" borderId="8" xfId="0" applyNumberFormat="1" applyFont="1" applyFill="1" applyBorder="1" applyAlignment="1" applyProtection="1">
      <alignment horizontal="center" vertical="center"/>
    </xf>
    <xf numFmtId="166" fontId="2" fillId="6" borderId="11" xfId="0" applyNumberFormat="1" applyFont="1" applyFill="1" applyBorder="1" applyAlignment="1" applyProtection="1">
      <alignment horizontal="center" vertical="center"/>
    </xf>
    <xf numFmtId="0" fontId="3" fillId="7" borderId="18" xfId="0" applyFont="1" applyFill="1" applyBorder="1" applyAlignment="1">
      <alignment horizontal="center" vertical="center"/>
    </xf>
    <xf numFmtId="0" fontId="4" fillId="7" borderId="19" xfId="0" applyFont="1" applyFill="1" applyBorder="1" applyAlignment="1">
      <alignment horizontal="center" vertical="center"/>
    </xf>
    <xf numFmtId="0" fontId="3" fillId="7" borderId="19" xfId="0" applyFont="1" applyFill="1" applyBorder="1" applyAlignment="1">
      <alignment vertical="center"/>
    </xf>
    <xf numFmtId="0" fontId="3" fillId="7" borderId="19" xfId="0" applyFont="1" applyFill="1" applyBorder="1" applyAlignment="1">
      <alignment horizontal="center" vertical="center"/>
    </xf>
    <xf numFmtId="0" fontId="4" fillId="7" borderId="20" xfId="0" applyFont="1" applyFill="1" applyBorder="1" applyAlignment="1">
      <alignment horizontal="center" vertical="center"/>
    </xf>
    <xf numFmtId="0" fontId="34" fillId="0" borderId="1" xfId="0" applyFont="1" applyBorder="1" applyAlignment="1">
      <alignment horizontal="centerContinuous" vertical="center"/>
    </xf>
  </cellXfs>
  <cellStyles count="3">
    <cellStyle name="Normal" xfId="0" builtinId="0"/>
    <cellStyle name="Normal 2 2 2" xfId="2" xr:uid="{092C5FC4-3CEF-4DFD-ABC2-C6AAFC902298}"/>
    <cellStyle name="Normal 4 2 2" xfId="1" xr:uid="{E374A762-5E6B-46FB-ADAD-9BFCB2253C08}"/>
  </cellStyles>
  <dxfs count="97">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1562100</xdr:colOff>
      <xdr:row>192</xdr:row>
      <xdr:rowOff>0</xdr:rowOff>
    </xdr:from>
    <xdr:to>
      <xdr:col>2</xdr:col>
      <xdr:colOff>1638300</xdr:colOff>
      <xdr:row>198</xdr:row>
      <xdr:rowOff>1320940</xdr:rowOff>
    </xdr:to>
    <xdr:sp macro="" textlink="">
      <xdr:nvSpPr>
        <xdr:cNvPr id="2" name="Text Box 11">
          <a:extLst>
            <a:ext uri="{FF2B5EF4-FFF2-40B4-BE49-F238E27FC236}">
              <a16:creationId xmlns:a16="http://schemas.microsoft.com/office/drawing/2014/main" id="{08723054-334A-4A5A-BFFC-1AA0DA3BFC2C}"/>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3" name="Text Box 12">
          <a:extLst>
            <a:ext uri="{FF2B5EF4-FFF2-40B4-BE49-F238E27FC236}">
              <a16:creationId xmlns:a16="http://schemas.microsoft.com/office/drawing/2014/main" id="{2BF5BBE1-7CE5-4EAD-94ED-91391A96AE57}"/>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4" name="Text Box 13">
          <a:extLst>
            <a:ext uri="{FF2B5EF4-FFF2-40B4-BE49-F238E27FC236}">
              <a16:creationId xmlns:a16="http://schemas.microsoft.com/office/drawing/2014/main" id="{4F79DD04-BF9D-4C5C-B67A-F57A35683BC4}"/>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5" name="Text Box 20">
          <a:extLst>
            <a:ext uri="{FF2B5EF4-FFF2-40B4-BE49-F238E27FC236}">
              <a16:creationId xmlns:a16="http://schemas.microsoft.com/office/drawing/2014/main" id="{16CE705C-165D-46CA-8765-AEDA839F4A90}"/>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6" name="Text Box 21">
          <a:extLst>
            <a:ext uri="{FF2B5EF4-FFF2-40B4-BE49-F238E27FC236}">
              <a16:creationId xmlns:a16="http://schemas.microsoft.com/office/drawing/2014/main" id="{C7D56EF8-754F-45E7-8AFA-44D771A486F7}"/>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7" name="Text Box 22">
          <a:extLst>
            <a:ext uri="{FF2B5EF4-FFF2-40B4-BE49-F238E27FC236}">
              <a16:creationId xmlns:a16="http://schemas.microsoft.com/office/drawing/2014/main" id="{6CF50EB1-BD57-4908-8629-80BB215D5A9F}"/>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8" name="Text Box 1571">
          <a:extLst>
            <a:ext uri="{FF2B5EF4-FFF2-40B4-BE49-F238E27FC236}">
              <a16:creationId xmlns:a16="http://schemas.microsoft.com/office/drawing/2014/main" id="{D6432FC3-C754-434C-AF92-1634F3696CF3}"/>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9" name="Text Box 1572">
          <a:extLst>
            <a:ext uri="{FF2B5EF4-FFF2-40B4-BE49-F238E27FC236}">
              <a16:creationId xmlns:a16="http://schemas.microsoft.com/office/drawing/2014/main" id="{C6BE9CFE-C36E-4D7D-B929-A682297726D1}"/>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0" name="Text Box 1573">
          <a:extLst>
            <a:ext uri="{FF2B5EF4-FFF2-40B4-BE49-F238E27FC236}">
              <a16:creationId xmlns:a16="http://schemas.microsoft.com/office/drawing/2014/main" id="{8C175501-937F-4092-8F05-4BA8F9D6EEFC}"/>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1" name="Text Box 11">
          <a:extLst>
            <a:ext uri="{FF2B5EF4-FFF2-40B4-BE49-F238E27FC236}">
              <a16:creationId xmlns:a16="http://schemas.microsoft.com/office/drawing/2014/main" id="{BEEF39A9-6C0B-46D2-A7B7-ED1B0285DC09}"/>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2" name="Text Box 12">
          <a:extLst>
            <a:ext uri="{FF2B5EF4-FFF2-40B4-BE49-F238E27FC236}">
              <a16:creationId xmlns:a16="http://schemas.microsoft.com/office/drawing/2014/main" id="{D9A3DB7B-930C-486A-A0FA-412D88AD97C6}"/>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3" name="Text Box 13">
          <a:extLst>
            <a:ext uri="{FF2B5EF4-FFF2-40B4-BE49-F238E27FC236}">
              <a16:creationId xmlns:a16="http://schemas.microsoft.com/office/drawing/2014/main" id="{C69A9691-8CAF-4CDA-BA35-B56D5F8F1A08}"/>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4" name="Text Box 20">
          <a:extLst>
            <a:ext uri="{FF2B5EF4-FFF2-40B4-BE49-F238E27FC236}">
              <a16:creationId xmlns:a16="http://schemas.microsoft.com/office/drawing/2014/main" id="{B36C3460-FC2D-471E-BF54-27D8255815CE}"/>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5" name="Text Box 21">
          <a:extLst>
            <a:ext uri="{FF2B5EF4-FFF2-40B4-BE49-F238E27FC236}">
              <a16:creationId xmlns:a16="http://schemas.microsoft.com/office/drawing/2014/main" id="{C5C78DBB-6AD6-460C-9F75-1FFE26EF03B8}"/>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6" name="Text Box 22">
          <a:extLst>
            <a:ext uri="{FF2B5EF4-FFF2-40B4-BE49-F238E27FC236}">
              <a16:creationId xmlns:a16="http://schemas.microsoft.com/office/drawing/2014/main" id="{2D973275-D986-4961-960A-58091301EA9C}"/>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7" name="Text Box 1571">
          <a:extLst>
            <a:ext uri="{FF2B5EF4-FFF2-40B4-BE49-F238E27FC236}">
              <a16:creationId xmlns:a16="http://schemas.microsoft.com/office/drawing/2014/main" id="{543FE578-0AA1-4ED7-8D6D-FE4E94672A7A}"/>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8" name="Text Box 1572">
          <a:extLst>
            <a:ext uri="{FF2B5EF4-FFF2-40B4-BE49-F238E27FC236}">
              <a16:creationId xmlns:a16="http://schemas.microsoft.com/office/drawing/2014/main" id="{2412C842-8264-4BF8-B832-A3B22BA098F7}"/>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1638300</xdr:colOff>
      <xdr:row>198</xdr:row>
      <xdr:rowOff>1320940</xdr:rowOff>
    </xdr:to>
    <xdr:sp macro="" textlink="">
      <xdr:nvSpPr>
        <xdr:cNvPr id="19" name="Text Box 1573">
          <a:extLst>
            <a:ext uri="{FF2B5EF4-FFF2-40B4-BE49-F238E27FC236}">
              <a16:creationId xmlns:a16="http://schemas.microsoft.com/office/drawing/2014/main" id="{671B2FEE-0811-4E02-AE50-21579242DF63}"/>
            </a:ext>
          </a:extLst>
        </xdr:cNvPr>
        <xdr:cNvSpPr txBox="1">
          <a:spLocks noChangeArrowheads="1"/>
        </xdr:cNvSpPr>
      </xdr:nvSpPr>
      <xdr:spPr bwMode="auto">
        <a:xfrm>
          <a:off x="3040380" y="55686960"/>
          <a:ext cx="7620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0" name="Text Box 11">
          <a:extLst>
            <a:ext uri="{FF2B5EF4-FFF2-40B4-BE49-F238E27FC236}">
              <a16:creationId xmlns:a16="http://schemas.microsoft.com/office/drawing/2014/main" id="{E1E8D890-79B4-43F9-9260-F278CD75EEA8}"/>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1" name="Text Box 12">
          <a:extLst>
            <a:ext uri="{FF2B5EF4-FFF2-40B4-BE49-F238E27FC236}">
              <a16:creationId xmlns:a16="http://schemas.microsoft.com/office/drawing/2014/main" id="{99377EAB-8577-4FA1-B4CA-C5C93F9D84D6}"/>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2" name="Text Box 13">
          <a:extLst>
            <a:ext uri="{FF2B5EF4-FFF2-40B4-BE49-F238E27FC236}">
              <a16:creationId xmlns:a16="http://schemas.microsoft.com/office/drawing/2014/main" id="{6F7958EB-C91F-453C-BA9A-82190A51ABB4}"/>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3" name="Text Box 20">
          <a:extLst>
            <a:ext uri="{FF2B5EF4-FFF2-40B4-BE49-F238E27FC236}">
              <a16:creationId xmlns:a16="http://schemas.microsoft.com/office/drawing/2014/main" id="{BFFD493E-219B-47DD-B438-388C940A62A4}"/>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4" name="Text Box 21">
          <a:extLst>
            <a:ext uri="{FF2B5EF4-FFF2-40B4-BE49-F238E27FC236}">
              <a16:creationId xmlns:a16="http://schemas.microsoft.com/office/drawing/2014/main" id="{C22D3CDD-FDBE-41CB-849C-E477EB07C306}"/>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5" name="Text Box 22">
          <a:extLst>
            <a:ext uri="{FF2B5EF4-FFF2-40B4-BE49-F238E27FC236}">
              <a16:creationId xmlns:a16="http://schemas.microsoft.com/office/drawing/2014/main" id="{85CB015E-2F92-42E8-A4F7-092853B4E538}"/>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6" name="Text Box 1571">
          <a:extLst>
            <a:ext uri="{FF2B5EF4-FFF2-40B4-BE49-F238E27FC236}">
              <a16:creationId xmlns:a16="http://schemas.microsoft.com/office/drawing/2014/main" id="{E21731BE-D42A-432B-A959-2BE76F580316}"/>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7" name="Text Box 1572">
          <a:extLst>
            <a:ext uri="{FF2B5EF4-FFF2-40B4-BE49-F238E27FC236}">
              <a16:creationId xmlns:a16="http://schemas.microsoft.com/office/drawing/2014/main" id="{48A60F42-8BA8-49F0-9322-AF21A1BA029E}"/>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8" name="Text Box 1573">
          <a:extLst>
            <a:ext uri="{FF2B5EF4-FFF2-40B4-BE49-F238E27FC236}">
              <a16:creationId xmlns:a16="http://schemas.microsoft.com/office/drawing/2014/main" id="{BBA7A675-AC21-4567-8CCE-DC0D0F7AD0EB}"/>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29" name="Text Box 11">
          <a:extLst>
            <a:ext uri="{FF2B5EF4-FFF2-40B4-BE49-F238E27FC236}">
              <a16:creationId xmlns:a16="http://schemas.microsoft.com/office/drawing/2014/main" id="{2C0EDC56-D333-4B2F-BA23-D53AB53EBE10}"/>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30" name="Text Box 12">
          <a:extLst>
            <a:ext uri="{FF2B5EF4-FFF2-40B4-BE49-F238E27FC236}">
              <a16:creationId xmlns:a16="http://schemas.microsoft.com/office/drawing/2014/main" id="{046CD024-E0A6-45E2-8885-151434A0E624}"/>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31" name="Text Box 13">
          <a:extLst>
            <a:ext uri="{FF2B5EF4-FFF2-40B4-BE49-F238E27FC236}">
              <a16:creationId xmlns:a16="http://schemas.microsoft.com/office/drawing/2014/main" id="{A78BC7F7-A1F5-4930-B57D-248E5EDD1053}"/>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32" name="Text Box 20">
          <a:extLst>
            <a:ext uri="{FF2B5EF4-FFF2-40B4-BE49-F238E27FC236}">
              <a16:creationId xmlns:a16="http://schemas.microsoft.com/office/drawing/2014/main" id="{95DC14BA-01D1-4C7E-B81E-2ED337658080}"/>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33" name="Text Box 21">
          <a:extLst>
            <a:ext uri="{FF2B5EF4-FFF2-40B4-BE49-F238E27FC236}">
              <a16:creationId xmlns:a16="http://schemas.microsoft.com/office/drawing/2014/main" id="{19D686B1-6E78-46A1-BDDE-0B90382C011A}"/>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34" name="Text Box 22">
          <a:extLst>
            <a:ext uri="{FF2B5EF4-FFF2-40B4-BE49-F238E27FC236}">
              <a16:creationId xmlns:a16="http://schemas.microsoft.com/office/drawing/2014/main" id="{6B1FABD9-6C30-47DD-9ECC-F3FA7E55D59F}"/>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35" name="Text Box 1571">
          <a:extLst>
            <a:ext uri="{FF2B5EF4-FFF2-40B4-BE49-F238E27FC236}">
              <a16:creationId xmlns:a16="http://schemas.microsoft.com/office/drawing/2014/main" id="{B60466D8-DDB3-4EA3-872B-881459BD5E37}"/>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36" name="Text Box 1572">
          <a:extLst>
            <a:ext uri="{FF2B5EF4-FFF2-40B4-BE49-F238E27FC236}">
              <a16:creationId xmlns:a16="http://schemas.microsoft.com/office/drawing/2014/main" id="{44FEEEF8-D957-41D5-8600-2FD624E8A6D2}"/>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192</xdr:row>
      <xdr:rowOff>0</xdr:rowOff>
    </xdr:from>
    <xdr:to>
      <xdr:col>2</xdr:col>
      <xdr:colOff>1562100</xdr:colOff>
      <xdr:row>198</xdr:row>
      <xdr:rowOff>1320940</xdr:rowOff>
    </xdr:to>
    <xdr:sp macro="" textlink="">
      <xdr:nvSpPr>
        <xdr:cNvPr id="37" name="Text Box 1573">
          <a:extLst>
            <a:ext uri="{FF2B5EF4-FFF2-40B4-BE49-F238E27FC236}">
              <a16:creationId xmlns:a16="http://schemas.microsoft.com/office/drawing/2014/main" id="{87064FA1-5A45-4FFF-9875-8188E98845FD}"/>
            </a:ext>
          </a:extLst>
        </xdr:cNvPr>
        <xdr:cNvSpPr txBox="1">
          <a:spLocks noChangeArrowheads="1"/>
        </xdr:cNvSpPr>
      </xdr:nvSpPr>
      <xdr:spPr bwMode="auto">
        <a:xfrm>
          <a:off x="3040380" y="55686960"/>
          <a:ext cx="0" cy="396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38" name="Text Box 11">
          <a:extLst>
            <a:ext uri="{FF2B5EF4-FFF2-40B4-BE49-F238E27FC236}">
              <a16:creationId xmlns:a16="http://schemas.microsoft.com/office/drawing/2014/main" id="{5A9CEA25-BA49-44F3-9C01-DFA9192FB20C}"/>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39" name="Text Box 12">
          <a:extLst>
            <a:ext uri="{FF2B5EF4-FFF2-40B4-BE49-F238E27FC236}">
              <a16:creationId xmlns:a16="http://schemas.microsoft.com/office/drawing/2014/main" id="{78BFA379-C883-45FE-8EBA-327512AE742B}"/>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0" name="Text Box 13">
          <a:extLst>
            <a:ext uri="{FF2B5EF4-FFF2-40B4-BE49-F238E27FC236}">
              <a16:creationId xmlns:a16="http://schemas.microsoft.com/office/drawing/2014/main" id="{14DCC939-5251-434E-BE8E-FD511DE809F1}"/>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1" name="Text Box 20">
          <a:extLst>
            <a:ext uri="{FF2B5EF4-FFF2-40B4-BE49-F238E27FC236}">
              <a16:creationId xmlns:a16="http://schemas.microsoft.com/office/drawing/2014/main" id="{83CD53D6-963D-4622-B21C-949615EAB6A3}"/>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2" name="Text Box 21">
          <a:extLst>
            <a:ext uri="{FF2B5EF4-FFF2-40B4-BE49-F238E27FC236}">
              <a16:creationId xmlns:a16="http://schemas.microsoft.com/office/drawing/2014/main" id="{D2C9DC46-6897-4AC8-B2CC-19F9119AEA8E}"/>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3" name="Text Box 22">
          <a:extLst>
            <a:ext uri="{FF2B5EF4-FFF2-40B4-BE49-F238E27FC236}">
              <a16:creationId xmlns:a16="http://schemas.microsoft.com/office/drawing/2014/main" id="{B5161C05-B5F3-4E59-9E38-8A2842024873}"/>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4" name="Text Box 1571">
          <a:extLst>
            <a:ext uri="{FF2B5EF4-FFF2-40B4-BE49-F238E27FC236}">
              <a16:creationId xmlns:a16="http://schemas.microsoft.com/office/drawing/2014/main" id="{2BB60322-7CC6-4A1E-8753-EF635427FB3D}"/>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5" name="Text Box 1572">
          <a:extLst>
            <a:ext uri="{FF2B5EF4-FFF2-40B4-BE49-F238E27FC236}">
              <a16:creationId xmlns:a16="http://schemas.microsoft.com/office/drawing/2014/main" id="{6F1EE096-0E92-41C2-BD29-548FCE8E5503}"/>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6" name="Text Box 1573">
          <a:extLst>
            <a:ext uri="{FF2B5EF4-FFF2-40B4-BE49-F238E27FC236}">
              <a16:creationId xmlns:a16="http://schemas.microsoft.com/office/drawing/2014/main" id="{7B2AE80A-6DEB-412E-8602-2CFBADC3767B}"/>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7" name="Text Box 11">
          <a:extLst>
            <a:ext uri="{FF2B5EF4-FFF2-40B4-BE49-F238E27FC236}">
              <a16:creationId xmlns:a16="http://schemas.microsoft.com/office/drawing/2014/main" id="{1DEDCE8D-B98B-4B3F-A368-8DE130312AE8}"/>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8" name="Text Box 12">
          <a:extLst>
            <a:ext uri="{FF2B5EF4-FFF2-40B4-BE49-F238E27FC236}">
              <a16:creationId xmlns:a16="http://schemas.microsoft.com/office/drawing/2014/main" id="{91ADE33F-3A22-4842-8935-7BA16D376011}"/>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49" name="Text Box 13">
          <a:extLst>
            <a:ext uri="{FF2B5EF4-FFF2-40B4-BE49-F238E27FC236}">
              <a16:creationId xmlns:a16="http://schemas.microsoft.com/office/drawing/2014/main" id="{F12FD44E-1BE6-41E1-AD3F-37A572CB4FAA}"/>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50" name="Text Box 20">
          <a:extLst>
            <a:ext uri="{FF2B5EF4-FFF2-40B4-BE49-F238E27FC236}">
              <a16:creationId xmlns:a16="http://schemas.microsoft.com/office/drawing/2014/main" id="{84DE28ED-C01B-424F-922D-28D2B5FEFB22}"/>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51" name="Text Box 21">
          <a:extLst>
            <a:ext uri="{FF2B5EF4-FFF2-40B4-BE49-F238E27FC236}">
              <a16:creationId xmlns:a16="http://schemas.microsoft.com/office/drawing/2014/main" id="{15A33C43-6594-4108-ACC1-DF44864AF724}"/>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52" name="Text Box 22">
          <a:extLst>
            <a:ext uri="{FF2B5EF4-FFF2-40B4-BE49-F238E27FC236}">
              <a16:creationId xmlns:a16="http://schemas.microsoft.com/office/drawing/2014/main" id="{7E314590-1072-457A-827B-E930FD469DD6}"/>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53" name="Text Box 1571">
          <a:extLst>
            <a:ext uri="{FF2B5EF4-FFF2-40B4-BE49-F238E27FC236}">
              <a16:creationId xmlns:a16="http://schemas.microsoft.com/office/drawing/2014/main" id="{5675E984-194E-4FAC-A282-FB7B82C3F901}"/>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54" name="Text Box 1572">
          <a:extLst>
            <a:ext uri="{FF2B5EF4-FFF2-40B4-BE49-F238E27FC236}">
              <a16:creationId xmlns:a16="http://schemas.microsoft.com/office/drawing/2014/main" id="{DA7F9597-AD76-44BF-82AE-B74C815CD28D}"/>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1638300</xdr:colOff>
      <xdr:row>218</xdr:row>
      <xdr:rowOff>292240</xdr:rowOff>
    </xdr:to>
    <xdr:sp macro="" textlink="">
      <xdr:nvSpPr>
        <xdr:cNvPr id="55" name="Text Box 1573">
          <a:extLst>
            <a:ext uri="{FF2B5EF4-FFF2-40B4-BE49-F238E27FC236}">
              <a16:creationId xmlns:a16="http://schemas.microsoft.com/office/drawing/2014/main" id="{195486AB-0C84-49BC-AD62-1D1A5C39CC08}"/>
            </a:ext>
          </a:extLst>
        </xdr:cNvPr>
        <xdr:cNvSpPr txBox="1">
          <a:spLocks noChangeArrowheads="1"/>
        </xdr:cNvSpPr>
      </xdr:nvSpPr>
      <xdr:spPr bwMode="auto">
        <a:xfrm>
          <a:off x="3040380" y="62430660"/>
          <a:ext cx="7620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56" name="Text Box 11">
          <a:extLst>
            <a:ext uri="{FF2B5EF4-FFF2-40B4-BE49-F238E27FC236}">
              <a16:creationId xmlns:a16="http://schemas.microsoft.com/office/drawing/2014/main" id="{3B1512CE-F136-4E5C-8C13-8E2CDDE81191}"/>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57" name="Text Box 12">
          <a:extLst>
            <a:ext uri="{FF2B5EF4-FFF2-40B4-BE49-F238E27FC236}">
              <a16:creationId xmlns:a16="http://schemas.microsoft.com/office/drawing/2014/main" id="{50DC9081-B8EC-4A3D-900F-11BB882F45AD}"/>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58" name="Text Box 13">
          <a:extLst>
            <a:ext uri="{FF2B5EF4-FFF2-40B4-BE49-F238E27FC236}">
              <a16:creationId xmlns:a16="http://schemas.microsoft.com/office/drawing/2014/main" id="{53733114-923E-41F6-84FF-6AEA2A9EF4B0}"/>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59" name="Text Box 20">
          <a:extLst>
            <a:ext uri="{FF2B5EF4-FFF2-40B4-BE49-F238E27FC236}">
              <a16:creationId xmlns:a16="http://schemas.microsoft.com/office/drawing/2014/main" id="{4AD1F2D9-AFFD-41BE-805C-88522BEF4CAF}"/>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0" name="Text Box 21">
          <a:extLst>
            <a:ext uri="{FF2B5EF4-FFF2-40B4-BE49-F238E27FC236}">
              <a16:creationId xmlns:a16="http://schemas.microsoft.com/office/drawing/2014/main" id="{12566477-BBF1-4E20-AC0C-B8E67075A45D}"/>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1" name="Text Box 22">
          <a:extLst>
            <a:ext uri="{FF2B5EF4-FFF2-40B4-BE49-F238E27FC236}">
              <a16:creationId xmlns:a16="http://schemas.microsoft.com/office/drawing/2014/main" id="{1D030FD0-C71C-438C-BA5A-BD3F2637C905}"/>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2" name="Text Box 1571">
          <a:extLst>
            <a:ext uri="{FF2B5EF4-FFF2-40B4-BE49-F238E27FC236}">
              <a16:creationId xmlns:a16="http://schemas.microsoft.com/office/drawing/2014/main" id="{6B6D40D3-E1F6-4D96-B60B-C36D63C2F917}"/>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3" name="Text Box 1572">
          <a:extLst>
            <a:ext uri="{FF2B5EF4-FFF2-40B4-BE49-F238E27FC236}">
              <a16:creationId xmlns:a16="http://schemas.microsoft.com/office/drawing/2014/main" id="{527F61CC-A066-4B74-A9C0-9DADA16D84E8}"/>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4" name="Text Box 1573">
          <a:extLst>
            <a:ext uri="{FF2B5EF4-FFF2-40B4-BE49-F238E27FC236}">
              <a16:creationId xmlns:a16="http://schemas.microsoft.com/office/drawing/2014/main" id="{1A00EAF2-F0F3-4A33-B0BC-727E9995EDF2}"/>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5" name="Text Box 11">
          <a:extLst>
            <a:ext uri="{FF2B5EF4-FFF2-40B4-BE49-F238E27FC236}">
              <a16:creationId xmlns:a16="http://schemas.microsoft.com/office/drawing/2014/main" id="{3AF05A35-D648-4CA4-BA8C-135F26BE5521}"/>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6" name="Text Box 12">
          <a:extLst>
            <a:ext uri="{FF2B5EF4-FFF2-40B4-BE49-F238E27FC236}">
              <a16:creationId xmlns:a16="http://schemas.microsoft.com/office/drawing/2014/main" id="{19A53DB9-13A7-4C27-8C4B-C81335E5A205}"/>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7" name="Text Box 13">
          <a:extLst>
            <a:ext uri="{FF2B5EF4-FFF2-40B4-BE49-F238E27FC236}">
              <a16:creationId xmlns:a16="http://schemas.microsoft.com/office/drawing/2014/main" id="{8B4D51F2-17D2-4560-BEA3-6DF7C82D30FE}"/>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8" name="Text Box 20">
          <a:extLst>
            <a:ext uri="{FF2B5EF4-FFF2-40B4-BE49-F238E27FC236}">
              <a16:creationId xmlns:a16="http://schemas.microsoft.com/office/drawing/2014/main" id="{2C9DD96F-21DC-43B6-89F4-4C24AD92D24C}"/>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69" name="Text Box 21">
          <a:extLst>
            <a:ext uri="{FF2B5EF4-FFF2-40B4-BE49-F238E27FC236}">
              <a16:creationId xmlns:a16="http://schemas.microsoft.com/office/drawing/2014/main" id="{592A8567-0BB3-43A9-971E-794A8BC2CFB2}"/>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70" name="Text Box 22">
          <a:extLst>
            <a:ext uri="{FF2B5EF4-FFF2-40B4-BE49-F238E27FC236}">
              <a16:creationId xmlns:a16="http://schemas.microsoft.com/office/drawing/2014/main" id="{03CBF7B9-3296-4708-8743-0C1C3257553A}"/>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71" name="Text Box 1571">
          <a:extLst>
            <a:ext uri="{FF2B5EF4-FFF2-40B4-BE49-F238E27FC236}">
              <a16:creationId xmlns:a16="http://schemas.microsoft.com/office/drawing/2014/main" id="{BA2521C5-F89A-40A0-AD66-2519A52C1E94}"/>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72" name="Text Box 1572">
          <a:extLst>
            <a:ext uri="{FF2B5EF4-FFF2-40B4-BE49-F238E27FC236}">
              <a16:creationId xmlns:a16="http://schemas.microsoft.com/office/drawing/2014/main" id="{5AE362B2-F89F-485D-95C7-BBE041B4532E}"/>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212</xdr:row>
      <xdr:rowOff>0</xdr:rowOff>
    </xdr:from>
    <xdr:to>
      <xdr:col>2</xdr:col>
      <xdr:colOff>1562100</xdr:colOff>
      <xdr:row>218</xdr:row>
      <xdr:rowOff>292240</xdr:rowOff>
    </xdr:to>
    <xdr:sp macro="" textlink="">
      <xdr:nvSpPr>
        <xdr:cNvPr id="73" name="Text Box 1573">
          <a:extLst>
            <a:ext uri="{FF2B5EF4-FFF2-40B4-BE49-F238E27FC236}">
              <a16:creationId xmlns:a16="http://schemas.microsoft.com/office/drawing/2014/main" id="{6DFCDDEF-A0DF-458F-9616-5210793E13CB}"/>
            </a:ext>
          </a:extLst>
        </xdr:cNvPr>
        <xdr:cNvSpPr txBox="1">
          <a:spLocks noChangeArrowheads="1"/>
        </xdr:cNvSpPr>
      </xdr:nvSpPr>
      <xdr:spPr bwMode="auto">
        <a:xfrm>
          <a:off x="3040380" y="62430660"/>
          <a:ext cx="0" cy="2616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74" name="Text Box 11">
          <a:extLst>
            <a:ext uri="{FF2B5EF4-FFF2-40B4-BE49-F238E27FC236}">
              <a16:creationId xmlns:a16="http://schemas.microsoft.com/office/drawing/2014/main" id="{EE341E36-7B77-4B49-A681-8656898E31EC}"/>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75" name="Text Box 12">
          <a:extLst>
            <a:ext uri="{FF2B5EF4-FFF2-40B4-BE49-F238E27FC236}">
              <a16:creationId xmlns:a16="http://schemas.microsoft.com/office/drawing/2014/main" id="{86BA843E-88A4-4A65-A6B4-AE279FF472C3}"/>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76" name="Text Box 13">
          <a:extLst>
            <a:ext uri="{FF2B5EF4-FFF2-40B4-BE49-F238E27FC236}">
              <a16:creationId xmlns:a16="http://schemas.microsoft.com/office/drawing/2014/main" id="{320B1FF5-C70E-4790-B28B-C2E497C49BAB}"/>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77" name="Text Box 20">
          <a:extLst>
            <a:ext uri="{FF2B5EF4-FFF2-40B4-BE49-F238E27FC236}">
              <a16:creationId xmlns:a16="http://schemas.microsoft.com/office/drawing/2014/main" id="{E40968BA-53F9-4363-9AF5-2F1B901CB624}"/>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78" name="Text Box 21">
          <a:extLst>
            <a:ext uri="{FF2B5EF4-FFF2-40B4-BE49-F238E27FC236}">
              <a16:creationId xmlns:a16="http://schemas.microsoft.com/office/drawing/2014/main" id="{38AF3E1E-E355-4A87-BD58-289B03DFCC98}"/>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79" name="Text Box 22">
          <a:extLst>
            <a:ext uri="{FF2B5EF4-FFF2-40B4-BE49-F238E27FC236}">
              <a16:creationId xmlns:a16="http://schemas.microsoft.com/office/drawing/2014/main" id="{FCF2B157-2A9D-49D3-8962-4F6C9C80BF4A}"/>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0" name="Text Box 1571">
          <a:extLst>
            <a:ext uri="{FF2B5EF4-FFF2-40B4-BE49-F238E27FC236}">
              <a16:creationId xmlns:a16="http://schemas.microsoft.com/office/drawing/2014/main" id="{FF50456E-7632-4DDF-83FD-81F6F0C4970E}"/>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1" name="Text Box 1572">
          <a:extLst>
            <a:ext uri="{FF2B5EF4-FFF2-40B4-BE49-F238E27FC236}">
              <a16:creationId xmlns:a16="http://schemas.microsoft.com/office/drawing/2014/main" id="{1F762CAD-3539-4687-81EA-998206881943}"/>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2" name="Text Box 1573">
          <a:extLst>
            <a:ext uri="{FF2B5EF4-FFF2-40B4-BE49-F238E27FC236}">
              <a16:creationId xmlns:a16="http://schemas.microsoft.com/office/drawing/2014/main" id="{97811D9B-F56F-41FF-971D-D67FE0639F15}"/>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3" name="Text Box 11">
          <a:extLst>
            <a:ext uri="{FF2B5EF4-FFF2-40B4-BE49-F238E27FC236}">
              <a16:creationId xmlns:a16="http://schemas.microsoft.com/office/drawing/2014/main" id="{B76E9B6F-A2F2-4E47-AA70-38DA9A023AB6}"/>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4" name="Text Box 12">
          <a:extLst>
            <a:ext uri="{FF2B5EF4-FFF2-40B4-BE49-F238E27FC236}">
              <a16:creationId xmlns:a16="http://schemas.microsoft.com/office/drawing/2014/main" id="{FBB5F1AA-26A5-4363-8423-404E574D9466}"/>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5" name="Text Box 13">
          <a:extLst>
            <a:ext uri="{FF2B5EF4-FFF2-40B4-BE49-F238E27FC236}">
              <a16:creationId xmlns:a16="http://schemas.microsoft.com/office/drawing/2014/main" id="{57780FC7-8247-4640-88E9-0894ED6426A9}"/>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6" name="Text Box 20">
          <a:extLst>
            <a:ext uri="{FF2B5EF4-FFF2-40B4-BE49-F238E27FC236}">
              <a16:creationId xmlns:a16="http://schemas.microsoft.com/office/drawing/2014/main" id="{446510E2-7C73-4099-A5D0-B401FE2A3253}"/>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7" name="Text Box 21">
          <a:extLst>
            <a:ext uri="{FF2B5EF4-FFF2-40B4-BE49-F238E27FC236}">
              <a16:creationId xmlns:a16="http://schemas.microsoft.com/office/drawing/2014/main" id="{8E49426E-2F03-4A2A-B20D-430750544B16}"/>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8" name="Text Box 22">
          <a:extLst>
            <a:ext uri="{FF2B5EF4-FFF2-40B4-BE49-F238E27FC236}">
              <a16:creationId xmlns:a16="http://schemas.microsoft.com/office/drawing/2014/main" id="{0161E800-2858-48BA-BF33-F8EEEF571FCB}"/>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89" name="Text Box 1571">
          <a:extLst>
            <a:ext uri="{FF2B5EF4-FFF2-40B4-BE49-F238E27FC236}">
              <a16:creationId xmlns:a16="http://schemas.microsoft.com/office/drawing/2014/main" id="{14B0CA57-9C54-484A-AE3F-001E03980446}"/>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90" name="Text Box 1572">
          <a:extLst>
            <a:ext uri="{FF2B5EF4-FFF2-40B4-BE49-F238E27FC236}">
              <a16:creationId xmlns:a16="http://schemas.microsoft.com/office/drawing/2014/main" id="{D0286F27-AC56-4FFB-9960-2893304E247B}"/>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1638300</xdr:colOff>
      <xdr:row>349</xdr:row>
      <xdr:rowOff>269380</xdr:rowOff>
    </xdr:to>
    <xdr:sp macro="" textlink="">
      <xdr:nvSpPr>
        <xdr:cNvPr id="91" name="Text Box 1573">
          <a:extLst>
            <a:ext uri="{FF2B5EF4-FFF2-40B4-BE49-F238E27FC236}">
              <a16:creationId xmlns:a16="http://schemas.microsoft.com/office/drawing/2014/main" id="{1C4D077A-5166-4B7F-BD6F-90548FE3824B}"/>
            </a:ext>
          </a:extLst>
        </xdr:cNvPr>
        <xdr:cNvSpPr txBox="1">
          <a:spLocks noChangeArrowheads="1"/>
        </xdr:cNvSpPr>
      </xdr:nvSpPr>
      <xdr:spPr bwMode="auto">
        <a:xfrm>
          <a:off x="3040380" y="104592120"/>
          <a:ext cx="7620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92" name="Text Box 11">
          <a:extLst>
            <a:ext uri="{FF2B5EF4-FFF2-40B4-BE49-F238E27FC236}">
              <a16:creationId xmlns:a16="http://schemas.microsoft.com/office/drawing/2014/main" id="{94F2E9D9-4EB7-4EF2-9081-1D0540BB8D7F}"/>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93" name="Text Box 12">
          <a:extLst>
            <a:ext uri="{FF2B5EF4-FFF2-40B4-BE49-F238E27FC236}">
              <a16:creationId xmlns:a16="http://schemas.microsoft.com/office/drawing/2014/main" id="{94AA1FB0-D11C-44A5-91F1-1B06FBA7C926}"/>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94" name="Text Box 13">
          <a:extLst>
            <a:ext uri="{FF2B5EF4-FFF2-40B4-BE49-F238E27FC236}">
              <a16:creationId xmlns:a16="http://schemas.microsoft.com/office/drawing/2014/main" id="{784FE6D9-8894-47C7-A067-DCAE29E0E2AA}"/>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95" name="Text Box 20">
          <a:extLst>
            <a:ext uri="{FF2B5EF4-FFF2-40B4-BE49-F238E27FC236}">
              <a16:creationId xmlns:a16="http://schemas.microsoft.com/office/drawing/2014/main" id="{C0B55193-9EE4-4574-B553-D43B73EDCD5F}"/>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96" name="Text Box 21">
          <a:extLst>
            <a:ext uri="{FF2B5EF4-FFF2-40B4-BE49-F238E27FC236}">
              <a16:creationId xmlns:a16="http://schemas.microsoft.com/office/drawing/2014/main" id="{56374D77-5A24-4836-8C70-F62280D52DC4}"/>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97" name="Text Box 22">
          <a:extLst>
            <a:ext uri="{FF2B5EF4-FFF2-40B4-BE49-F238E27FC236}">
              <a16:creationId xmlns:a16="http://schemas.microsoft.com/office/drawing/2014/main" id="{EAF29C3B-7DFA-4D9C-93D5-273A38EB467C}"/>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98" name="Text Box 1571">
          <a:extLst>
            <a:ext uri="{FF2B5EF4-FFF2-40B4-BE49-F238E27FC236}">
              <a16:creationId xmlns:a16="http://schemas.microsoft.com/office/drawing/2014/main" id="{C80B5A00-A7C0-45DA-90A6-0F347C7843C0}"/>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99" name="Text Box 1572">
          <a:extLst>
            <a:ext uri="{FF2B5EF4-FFF2-40B4-BE49-F238E27FC236}">
              <a16:creationId xmlns:a16="http://schemas.microsoft.com/office/drawing/2014/main" id="{C587CB74-063C-4B28-B73C-078308491AF0}"/>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0" name="Text Box 1573">
          <a:extLst>
            <a:ext uri="{FF2B5EF4-FFF2-40B4-BE49-F238E27FC236}">
              <a16:creationId xmlns:a16="http://schemas.microsoft.com/office/drawing/2014/main" id="{C0AC1192-5A08-4476-B54F-1E6649B077E7}"/>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1" name="Text Box 11">
          <a:extLst>
            <a:ext uri="{FF2B5EF4-FFF2-40B4-BE49-F238E27FC236}">
              <a16:creationId xmlns:a16="http://schemas.microsoft.com/office/drawing/2014/main" id="{2A71820F-6913-4C65-80EE-77A2E88A08DD}"/>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2" name="Text Box 12">
          <a:extLst>
            <a:ext uri="{FF2B5EF4-FFF2-40B4-BE49-F238E27FC236}">
              <a16:creationId xmlns:a16="http://schemas.microsoft.com/office/drawing/2014/main" id="{541ACDF6-412B-474F-845E-D85D94C9705B}"/>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3" name="Text Box 13">
          <a:extLst>
            <a:ext uri="{FF2B5EF4-FFF2-40B4-BE49-F238E27FC236}">
              <a16:creationId xmlns:a16="http://schemas.microsoft.com/office/drawing/2014/main" id="{D8C0DDD8-19BC-49CF-BBA2-8BEEBF6B67C9}"/>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4" name="Text Box 20">
          <a:extLst>
            <a:ext uri="{FF2B5EF4-FFF2-40B4-BE49-F238E27FC236}">
              <a16:creationId xmlns:a16="http://schemas.microsoft.com/office/drawing/2014/main" id="{BBD03EFF-AAAE-452C-A9E5-5A2712F90759}"/>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5" name="Text Box 21">
          <a:extLst>
            <a:ext uri="{FF2B5EF4-FFF2-40B4-BE49-F238E27FC236}">
              <a16:creationId xmlns:a16="http://schemas.microsoft.com/office/drawing/2014/main" id="{951653F0-5533-4FB8-B63E-360E14A13660}"/>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6" name="Text Box 22">
          <a:extLst>
            <a:ext uri="{FF2B5EF4-FFF2-40B4-BE49-F238E27FC236}">
              <a16:creationId xmlns:a16="http://schemas.microsoft.com/office/drawing/2014/main" id="{F0F3D845-6FC6-41B6-AE9D-9740297AAE55}"/>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7" name="Text Box 1571">
          <a:extLst>
            <a:ext uri="{FF2B5EF4-FFF2-40B4-BE49-F238E27FC236}">
              <a16:creationId xmlns:a16="http://schemas.microsoft.com/office/drawing/2014/main" id="{E9B9BB82-E874-4435-978B-E343B6075E8B}"/>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8" name="Text Box 1572">
          <a:extLst>
            <a:ext uri="{FF2B5EF4-FFF2-40B4-BE49-F238E27FC236}">
              <a16:creationId xmlns:a16="http://schemas.microsoft.com/office/drawing/2014/main" id="{56C3A914-C367-44EB-A96B-5F60383A2E68}"/>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1562100</xdr:colOff>
      <xdr:row>343</xdr:row>
      <xdr:rowOff>0</xdr:rowOff>
    </xdr:from>
    <xdr:to>
      <xdr:col>2</xdr:col>
      <xdr:colOff>1562100</xdr:colOff>
      <xdr:row>349</xdr:row>
      <xdr:rowOff>269380</xdr:rowOff>
    </xdr:to>
    <xdr:sp macro="" textlink="">
      <xdr:nvSpPr>
        <xdr:cNvPr id="109" name="Text Box 1573">
          <a:extLst>
            <a:ext uri="{FF2B5EF4-FFF2-40B4-BE49-F238E27FC236}">
              <a16:creationId xmlns:a16="http://schemas.microsoft.com/office/drawing/2014/main" id="{5D9796E0-CC32-40CC-B63D-0D9FB0BE1A77}"/>
            </a:ext>
          </a:extLst>
        </xdr:cNvPr>
        <xdr:cNvSpPr txBox="1">
          <a:spLocks noChangeArrowheads="1"/>
        </xdr:cNvSpPr>
      </xdr:nvSpPr>
      <xdr:spPr bwMode="auto">
        <a:xfrm>
          <a:off x="3040380" y="104592120"/>
          <a:ext cx="0" cy="294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6484E-7DF2-4E9C-AA67-F3085E621791}">
  <sheetPr>
    <tabColor rgb="FFFF0000"/>
  </sheetPr>
  <dimension ref="A1:N661"/>
  <sheetViews>
    <sheetView showGridLines="0" tabSelected="1" zoomScaleNormal="100" workbookViewId="0">
      <pane ySplit="2" topLeftCell="A400" activePane="bottomLeft" state="frozen"/>
      <selection pane="bottomLeft" sqref="A1:L1"/>
    </sheetView>
  </sheetViews>
  <sheetFormatPr defaultColWidth="0" defaultRowHeight="0" customHeight="1" zeroHeight="1" x14ac:dyDescent="0.3"/>
  <cols>
    <col min="1" max="1" width="10.77734375" style="1" customWidth="1"/>
    <col min="2" max="2" width="10.77734375" style="2" customWidth="1"/>
    <col min="3" max="3" width="69.77734375" style="3" customWidth="1"/>
    <col min="4" max="4" width="10.77734375" style="1" customWidth="1"/>
    <col min="5" max="7" width="10.77734375" style="3" customWidth="1"/>
    <col min="8" max="8" width="10.77734375" style="1" customWidth="1"/>
    <col min="9" max="9" width="10.77734375" style="4" customWidth="1"/>
    <col min="10" max="11" width="10.77734375" style="3" customWidth="1"/>
    <col min="12" max="12" width="10" style="3" bestFit="1" customWidth="1"/>
    <col min="13" max="13" width="12.77734375" style="5" customWidth="1"/>
    <col min="14" max="14" width="5.77734375" style="5" customWidth="1"/>
    <col min="15" max="16384" width="8.88671875" style="5" hidden="1"/>
  </cols>
  <sheetData>
    <row r="1" spans="1:12" ht="34.200000000000003" thickBot="1" x14ac:dyDescent="0.35">
      <c r="A1" s="358" t="s">
        <v>147</v>
      </c>
      <c r="B1" s="358"/>
      <c r="C1" s="358"/>
      <c r="D1" s="358"/>
      <c r="E1" s="358"/>
      <c r="F1" s="358"/>
      <c r="G1" s="358"/>
      <c r="H1" s="358"/>
      <c r="I1" s="358"/>
      <c r="J1" s="358"/>
      <c r="K1" s="358"/>
      <c r="L1" s="358"/>
    </row>
    <row r="2" spans="1:12" s="273" customFormat="1" ht="35.4" thickTop="1" x14ac:dyDescent="0.3">
      <c r="A2" s="314" t="s">
        <v>0</v>
      </c>
      <c r="B2" s="305" t="s">
        <v>1</v>
      </c>
      <c r="C2" s="304" t="s">
        <v>2</v>
      </c>
      <c r="D2" s="304" t="s">
        <v>3</v>
      </c>
      <c r="E2" s="304" t="s">
        <v>4</v>
      </c>
      <c r="F2" s="306" t="s">
        <v>5</v>
      </c>
      <c r="G2" s="304" t="s">
        <v>6</v>
      </c>
      <c r="H2" s="306" t="s">
        <v>7</v>
      </c>
      <c r="I2" s="304" t="s">
        <v>8</v>
      </c>
      <c r="J2" s="304" t="s">
        <v>9</v>
      </c>
      <c r="K2" s="304" t="s">
        <v>10</v>
      </c>
      <c r="L2" s="307" t="s">
        <v>11</v>
      </c>
    </row>
    <row r="3" spans="1:12" s="273" customFormat="1" ht="93" x14ac:dyDescent="0.3">
      <c r="A3" s="343">
        <f>IFERROR(LOOKUP(2,1/(ISNUMBER($A$2:$A$2)),$A$2:$A$2),0)+1</f>
        <v>1</v>
      </c>
      <c r="B3" s="275" t="s">
        <v>12</v>
      </c>
      <c r="C3" s="308" t="s">
        <v>195</v>
      </c>
      <c r="D3" s="282"/>
      <c r="E3" s="283"/>
      <c r="F3" s="284"/>
      <c r="G3" s="283"/>
      <c r="H3" s="7"/>
      <c r="I3" s="285"/>
      <c r="J3" s="8"/>
      <c r="K3" s="9"/>
      <c r="L3" s="286"/>
    </row>
    <row r="4" spans="1:12" ht="15.6" x14ac:dyDescent="0.3">
      <c r="A4" s="339"/>
      <c r="B4" s="10"/>
      <c r="C4" s="11" t="s">
        <v>13</v>
      </c>
      <c r="D4" s="12">
        <v>1</v>
      </c>
      <c r="E4" s="12">
        <v>11.5</v>
      </c>
      <c r="F4" s="13">
        <v>6.5</v>
      </c>
      <c r="G4" s="12">
        <v>7</v>
      </c>
      <c r="H4" s="246">
        <f>D4*IF(OR(E4=0,E4="-"),1,E4)*IF(OR(F4=0,F4="-"),1,F4)*IF(OR(G4=0,G4="-"),1,G4)</f>
        <v>523.25</v>
      </c>
      <c r="I4" s="14" t="s">
        <v>14</v>
      </c>
      <c r="J4" s="15"/>
      <c r="K4" s="16"/>
      <c r="L4" s="17"/>
    </row>
    <row r="5" spans="1:12" ht="15.6" x14ac:dyDescent="0.3">
      <c r="A5" s="339"/>
      <c r="B5" s="10"/>
      <c r="C5" s="11" t="s">
        <v>15</v>
      </c>
      <c r="D5" s="12">
        <v>1</v>
      </c>
      <c r="E5" s="12">
        <v>7.5</v>
      </c>
      <c r="F5" s="13">
        <v>7.5</v>
      </c>
      <c r="G5" s="12">
        <v>7</v>
      </c>
      <c r="H5" s="246">
        <f>D5*IF(OR(E5=0,E5="-"),1,E5)*IF(OR(F5=0,F5="-"),1,F5)*IF(OR(G5=0,G5="-"),1,G5)</f>
        <v>393.75</v>
      </c>
      <c r="I5" s="14" t="s">
        <v>14</v>
      </c>
      <c r="J5" s="15"/>
      <c r="K5" s="16"/>
      <c r="L5" s="17"/>
    </row>
    <row r="6" spans="1:12" ht="15.6" x14ac:dyDescent="0.3">
      <c r="A6" s="339"/>
      <c r="B6" s="10"/>
      <c r="C6" s="18" t="s">
        <v>16</v>
      </c>
      <c r="D6" s="18">
        <v>1</v>
      </c>
      <c r="E6" s="18">
        <v>14</v>
      </c>
      <c r="F6" s="18">
        <v>3</v>
      </c>
      <c r="G6" s="18">
        <v>2.5</v>
      </c>
      <c r="H6" s="246">
        <f>D6*IF(OR(E6=0,E6="-"),1,E6)*IF(OR(F6=0,F6="-"),1,F6)*IF(OR(G6=0,G6="-"),1,G6)</f>
        <v>105</v>
      </c>
      <c r="I6" s="14" t="s">
        <v>14</v>
      </c>
      <c r="J6" s="15"/>
      <c r="K6" s="16"/>
      <c r="L6" s="17"/>
    </row>
    <row r="7" spans="1:12" ht="15.6" x14ac:dyDescent="0.3">
      <c r="A7" s="339"/>
      <c r="B7" s="10"/>
      <c r="C7" s="18"/>
      <c r="D7" s="18">
        <v>1</v>
      </c>
      <c r="E7" s="18">
        <f>3.5-2.5</f>
        <v>1</v>
      </c>
      <c r="F7" s="18">
        <v>3</v>
      </c>
      <c r="G7" s="18">
        <v>2.5</v>
      </c>
      <c r="H7" s="246">
        <f>D7*IF(OR(E7=0,E7="-"),1,E7)*IF(OR(F7=0,F7="-"),1,F7)*IF(OR(G7=0,G7="-"),1,G7)</f>
        <v>7.5</v>
      </c>
      <c r="I7" s="14" t="s">
        <v>14</v>
      </c>
      <c r="J7" s="15"/>
      <c r="K7" s="16"/>
      <c r="L7" s="17"/>
    </row>
    <row r="8" spans="1:12" ht="15.6" x14ac:dyDescent="0.3">
      <c r="A8" s="340"/>
      <c r="B8" s="19"/>
      <c r="C8" s="20"/>
      <c r="D8" s="21"/>
      <c r="E8" s="21"/>
      <c r="F8" s="251" t="s">
        <v>17</v>
      </c>
      <c r="G8" s="251"/>
      <c r="H8" s="245">
        <f>SUM(H4:INDEX(H:H,ROW()-1))</f>
        <v>1029.5</v>
      </c>
      <c r="I8" s="23" t="s">
        <v>14</v>
      </c>
      <c r="J8" s="24"/>
      <c r="K8" s="322">
        <f>0</f>
        <v>0</v>
      </c>
      <c r="L8" s="25"/>
    </row>
    <row r="9" spans="1:12" ht="31.2" x14ac:dyDescent="0.3">
      <c r="A9" s="341"/>
      <c r="B9" s="27"/>
      <c r="C9" s="28"/>
      <c r="D9" s="29"/>
      <c r="E9" s="248" t="s">
        <v>18</v>
      </c>
      <c r="F9" s="248"/>
      <c r="G9" s="248"/>
      <c r="H9" s="328">
        <f>ROUND(H8*0.0283,3)</f>
        <v>29.135000000000002</v>
      </c>
      <c r="I9" s="30" t="s">
        <v>19</v>
      </c>
      <c r="J9" s="24" t="s">
        <v>20</v>
      </c>
      <c r="K9" s="323">
        <f>IF(B3="4.14.1",IF(J9="Labour Rate",20,IF(J9="Machinery Rate",63,IF(J9="Through Rate",83,0))),"")</f>
        <v>83</v>
      </c>
      <c r="L9" s="319">
        <f>IF(H9*K9&lt;&gt;0,H9*K9,0)</f>
        <v>2418.2049999999999</v>
      </c>
    </row>
    <row r="10" spans="1:12" ht="13.95" customHeight="1" x14ac:dyDescent="0.3">
      <c r="A10" s="342"/>
      <c r="B10" s="32"/>
      <c r="C10" s="33"/>
      <c r="D10" s="34"/>
      <c r="E10" s="34"/>
      <c r="F10" s="35"/>
      <c r="G10" s="34"/>
      <c r="H10" s="7"/>
      <c r="I10" s="36"/>
      <c r="J10" s="8"/>
      <c r="K10" s="9"/>
      <c r="L10" s="37"/>
    </row>
    <row r="11" spans="1:12" s="273" customFormat="1" ht="77.400000000000006" x14ac:dyDescent="0.3">
      <c r="A11" s="343">
        <f>IFERROR(LOOKUP(2,1/(ISNUMBER($A$2:$A$10)),$A$2:$A$10),0)+1</f>
        <v>2</v>
      </c>
      <c r="B11" s="275" t="s">
        <v>21</v>
      </c>
      <c r="C11" s="308" t="s">
        <v>194</v>
      </c>
      <c r="D11" s="282"/>
      <c r="E11" s="283"/>
      <c r="F11" s="284"/>
      <c r="G11" s="283"/>
      <c r="H11" s="7"/>
      <c r="I11" s="285"/>
      <c r="J11" s="8"/>
      <c r="K11" s="9"/>
      <c r="L11" s="286"/>
    </row>
    <row r="12" spans="1:12" ht="15.6" x14ac:dyDescent="0.3">
      <c r="A12" s="339"/>
      <c r="B12" s="10"/>
      <c r="C12" s="11" t="s">
        <v>13</v>
      </c>
      <c r="D12" s="12">
        <v>1</v>
      </c>
      <c r="E12" s="12">
        <v>11.5</v>
      </c>
      <c r="F12" s="13">
        <v>6.5</v>
      </c>
      <c r="G12" s="12">
        <v>0.5</v>
      </c>
      <c r="H12" s="246">
        <f>D12*IF(OR(E12=0,E12="-"),1,E12)*IF(OR(F12=0,F12="-"),1,F12)*IF(OR(G12=0,G12="-"),1,G12)</f>
        <v>37.375</v>
      </c>
      <c r="I12" s="14" t="s">
        <v>14</v>
      </c>
      <c r="J12" s="15"/>
      <c r="K12" s="16"/>
      <c r="L12" s="17"/>
    </row>
    <row r="13" spans="1:12" ht="15.6" x14ac:dyDescent="0.3">
      <c r="A13" s="339"/>
      <c r="B13" s="10"/>
      <c r="C13" s="11"/>
      <c r="D13" s="12">
        <v>1</v>
      </c>
      <c r="E13" s="12">
        <v>7.5</v>
      </c>
      <c r="F13" s="13">
        <v>7.5</v>
      </c>
      <c r="G13" s="12">
        <v>0.5</v>
      </c>
      <c r="H13" s="246">
        <f>D13*IF(OR(E13=0,E13="-"),1,E13)*IF(OR(F13=0,F13="-"),1,F13)*IF(OR(G13=0,G13="-"),1,G13)</f>
        <v>28.125</v>
      </c>
      <c r="I13" s="14" t="s">
        <v>14</v>
      </c>
      <c r="J13" s="15"/>
      <c r="K13" s="16"/>
      <c r="L13" s="17"/>
    </row>
    <row r="14" spans="1:12" ht="15.6" x14ac:dyDescent="0.3">
      <c r="A14" s="339"/>
      <c r="B14" s="10"/>
      <c r="C14" s="18" t="s">
        <v>16</v>
      </c>
      <c r="D14" s="18">
        <v>1</v>
      </c>
      <c r="E14" s="18">
        <v>14</v>
      </c>
      <c r="F14" s="18">
        <v>3</v>
      </c>
      <c r="G14" s="18">
        <v>0.5</v>
      </c>
      <c r="H14" s="246">
        <f>D14*IF(OR(E14=0,E14="-"),1,E14)*IF(OR(F14=0,F14="-"),1,F14)*IF(OR(G14=0,G14="-"),1,G14)</f>
        <v>21</v>
      </c>
      <c r="I14" s="14" t="s">
        <v>14</v>
      </c>
      <c r="J14" s="15"/>
      <c r="K14" s="16"/>
      <c r="L14" s="17"/>
    </row>
    <row r="15" spans="1:12" ht="15.6" x14ac:dyDescent="0.3">
      <c r="A15" s="339"/>
      <c r="B15" s="10"/>
      <c r="C15" s="18"/>
      <c r="D15" s="18">
        <v>1</v>
      </c>
      <c r="E15" s="18">
        <f>3.5-2.5</f>
        <v>1</v>
      </c>
      <c r="F15" s="18">
        <v>3</v>
      </c>
      <c r="G15" s="18">
        <v>0.5</v>
      </c>
      <c r="H15" s="246">
        <f>D15*IF(OR(E15=0,E15="-"),1,E15)*IF(OR(F15=0,F15="-"),1,F15)*IF(OR(G15=0,G15="-"),1,G15)</f>
        <v>1.5</v>
      </c>
      <c r="I15" s="14" t="s">
        <v>14</v>
      </c>
      <c r="J15" s="15"/>
      <c r="K15" s="16"/>
      <c r="L15" s="17"/>
    </row>
    <row r="16" spans="1:12" ht="15.6" x14ac:dyDescent="0.3">
      <c r="A16" s="340"/>
      <c r="B16" s="19"/>
      <c r="C16" s="20"/>
      <c r="D16" s="21"/>
      <c r="E16" s="21"/>
      <c r="F16" s="251" t="s">
        <v>17</v>
      </c>
      <c r="G16" s="251"/>
      <c r="H16" s="245">
        <f>SUM(H12:INDEX(H:H,ROW()-1))</f>
        <v>88</v>
      </c>
      <c r="I16" s="23" t="s">
        <v>14</v>
      </c>
      <c r="J16" s="24"/>
      <c r="K16" s="322">
        <f>0</f>
        <v>0</v>
      </c>
      <c r="L16" s="25"/>
    </row>
    <row r="17" spans="1:12" ht="31.2" x14ac:dyDescent="0.3">
      <c r="A17" s="341"/>
      <c r="B17" s="27"/>
      <c r="C17" s="28"/>
      <c r="D17" s="29"/>
      <c r="E17" s="248" t="s">
        <v>18</v>
      </c>
      <c r="F17" s="248"/>
      <c r="G17" s="248"/>
      <c r="H17" s="328">
        <f>ROUND(H16*0.0283,3)</f>
        <v>2.4900000000000002</v>
      </c>
      <c r="I17" s="30" t="s">
        <v>19</v>
      </c>
      <c r="J17" s="24" t="s">
        <v>22</v>
      </c>
      <c r="K17" s="323">
        <f>IF(B11="6.1.6",IF(J17="Labour Rate",496,IF(J17="Material Rate",1947,IF(J17="Through Rate",2442,0))),"")</f>
        <v>496</v>
      </c>
      <c r="L17" s="319">
        <f>IF(H17*K17&lt;&gt;0,H17*K17,0)</f>
        <v>1235.0400000000002</v>
      </c>
    </row>
    <row r="18" spans="1:12" ht="13.95" customHeight="1" x14ac:dyDescent="0.3">
      <c r="A18" s="342"/>
      <c r="B18" s="32"/>
      <c r="C18" s="33"/>
      <c r="D18" s="34"/>
      <c r="E18" s="34"/>
      <c r="F18" s="35"/>
      <c r="G18" s="34"/>
      <c r="H18" s="7"/>
      <c r="I18" s="36"/>
      <c r="J18" s="8"/>
      <c r="K18" s="9"/>
      <c r="L18" s="37"/>
    </row>
    <row r="19" spans="1:12" s="273" customFormat="1" ht="51.6" x14ac:dyDescent="0.3">
      <c r="A19" s="343">
        <f>IFERROR(LOOKUP(2,1/(ISNUMBER($A$2:$A$18)),$A$2:$A$18),0)+1</f>
        <v>3</v>
      </c>
      <c r="B19" s="268" t="s">
        <v>23</v>
      </c>
      <c r="C19" s="308" t="s">
        <v>193</v>
      </c>
      <c r="D19" s="282"/>
      <c r="E19" s="283"/>
      <c r="F19" s="284"/>
      <c r="G19" s="283"/>
      <c r="H19" s="7"/>
      <c r="I19" s="285"/>
      <c r="J19" s="8"/>
      <c r="K19" s="9"/>
      <c r="L19" s="286"/>
    </row>
    <row r="20" spans="1:12" ht="15.6" x14ac:dyDescent="0.3">
      <c r="A20" s="339"/>
      <c r="B20" s="10"/>
      <c r="C20" s="11" t="s">
        <v>13</v>
      </c>
      <c r="D20" s="12">
        <v>1</v>
      </c>
      <c r="E20" s="12">
        <v>11.5</v>
      </c>
      <c r="F20" s="13">
        <v>6.5</v>
      </c>
      <c r="G20" s="12">
        <v>0.5</v>
      </c>
      <c r="H20" s="246">
        <f>D20*IF(OR(E20=0,E20="-"),1,E20)*IF(OR(F20=0,F20="-"),1,F20)*IF(OR(G20=0,G20="-"),1,G20)</f>
        <v>37.375</v>
      </c>
      <c r="I20" s="14" t="s">
        <v>14</v>
      </c>
      <c r="J20" s="15"/>
      <c r="K20" s="16"/>
      <c r="L20" s="17"/>
    </row>
    <row r="21" spans="1:12" ht="15.6" x14ac:dyDescent="0.3">
      <c r="A21" s="339"/>
      <c r="B21" s="10"/>
      <c r="C21" s="11"/>
      <c r="D21" s="12">
        <v>2</v>
      </c>
      <c r="E21" s="12">
        <v>11.5</v>
      </c>
      <c r="F21" s="13">
        <v>0.75</v>
      </c>
      <c r="G21" s="12">
        <v>7</v>
      </c>
      <c r="H21" s="246">
        <f>D21*IF(OR(E21=0,E21="-"),1,E21)*IF(OR(F21=0,F21="-"),1,F21)*IF(OR(G21=0,G21="-"),1,G21)</f>
        <v>120.75</v>
      </c>
      <c r="I21" s="14" t="s">
        <v>14</v>
      </c>
      <c r="J21" s="15"/>
      <c r="K21" s="16"/>
      <c r="L21" s="17"/>
    </row>
    <row r="22" spans="1:12" ht="15.6" x14ac:dyDescent="0.3">
      <c r="A22" s="339"/>
      <c r="B22" s="10"/>
      <c r="C22" s="11"/>
      <c r="D22" s="12">
        <v>2</v>
      </c>
      <c r="E22" s="12">
        <v>5</v>
      </c>
      <c r="F22" s="13">
        <v>0.75</v>
      </c>
      <c r="G22" s="12">
        <v>7</v>
      </c>
      <c r="H22" s="246">
        <f>D22*IF(OR(E22=0,E22="-"),1,E22)*IF(OR(F22=0,F22="-"),1,F22)*IF(OR(G22=0,G22="-"),1,G22)</f>
        <v>52.5</v>
      </c>
      <c r="I22" s="14" t="s">
        <v>14</v>
      </c>
      <c r="J22" s="15"/>
      <c r="K22" s="16"/>
      <c r="L22" s="17"/>
    </row>
    <row r="23" spans="1:12" ht="15.6" x14ac:dyDescent="0.3">
      <c r="A23" s="339"/>
      <c r="B23" s="10"/>
      <c r="C23" s="11"/>
      <c r="D23" s="12">
        <v>1</v>
      </c>
      <c r="E23" s="12">
        <v>7.5</v>
      </c>
      <c r="F23" s="13">
        <v>7.5</v>
      </c>
      <c r="G23" s="12">
        <v>0.25</v>
      </c>
      <c r="H23" s="246">
        <f>D23*IF(OR(E23=0,E23="-"),1,E23)*IF(OR(F23=0,F23="-"),1,F23)*IF(OR(G23=0,G23="-"),1,G23)</f>
        <v>14.0625</v>
      </c>
      <c r="I23" s="14" t="s">
        <v>14</v>
      </c>
      <c r="J23" s="15"/>
      <c r="K23" s="16"/>
      <c r="L23" s="17"/>
    </row>
    <row r="24" spans="1:12" ht="15.6" x14ac:dyDescent="0.3">
      <c r="A24" s="339"/>
      <c r="B24" s="10"/>
      <c r="C24" s="11" t="s">
        <v>24</v>
      </c>
      <c r="D24" s="12">
        <v>2</v>
      </c>
      <c r="E24" s="12">
        <v>7.5</v>
      </c>
      <c r="F24" s="13">
        <v>0.75</v>
      </c>
      <c r="G24" s="12">
        <v>7</v>
      </c>
      <c r="H24" s="246">
        <f>D24*IF(OR(E24=0,E24="-"),1,E24)*IF(OR(F24=0,F24="-"),1,F24)*IF(OR(G24=0,G24="-"),1,G24)</f>
        <v>78.75</v>
      </c>
      <c r="I24" s="14" t="s">
        <v>14</v>
      </c>
      <c r="J24" s="15"/>
      <c r="K24" s="16"/>
      <c r="L24" s="17"/>
    </row>
    <row r="25" spans="1:12" ht="15.6" x14ac:dyDescent="0.3">
      <c r="A25" s="339"/>
      <c r="B25" s="10"/>
      <c r="C25" s="11"/>
      <c r="D25" s="12">
        <v>2</v>
      </c>
      <c r="E25" s="12">
        <v>6</v>
      </c>
      <c r="F25" s="13">
        <v>0.75</v>
      </c>
      <c r="G25" s="12">
        <v>7</v>
      </c>
      <c r="H25" s="246">
        <f>D25*IF(OR(E25=0,E25="-"),1,E25)*IF(OR(F25=0,F25="-"),1,F25)*IF(OR(G25=0,G25="-"),1,G25)</f>
        <v>63</v>
      </c>
      <c r="I25" s="14" t="s">
        <v>14</v>
      </c>
      <c r="J25" s="15"/>
      <c r="K25" s="16"/>
      <c r="L25" s="17"/>
    </row>
    <row r="26" spans="1:12" ht="15.6" x14ac:dyDescent="0.3">
      <c r="A26" s="339"/>
      <c r="B26" s="10"/>
      <c r="C26" s="11" t="s">
        <v>25</v>
      </c>
      <c r="D26" s="12">
        <v>1</v>
      </c>
      <c r="E26" s="12">
        <v>14.5</v>
      </c>
      <c r="F26" s="13">
        <v>1.5</v>
      </c>
      <c r="G26" s="12">
        <v>1</v>
      </c>
      <c r="H26" s="246">
        <f>D26*IF(OR(E26=0,E26="-"),1,E26)*IF(OR(F26=0,F26="-"),1,F26)*IF(OR(G26=0,G26="-"),1,G26)</f>
        <v>21.75</v>
      </c>
      <c r="I26" s="14" t="s">
        <v>14</v>
      </c>
      <c r="J26" s="15"/>
      <c r="K26" s="16"/>
      <c r="L26" s="17"/>
    </row>
    <row r="27" spans="1:12" ht="15.6" x14ac:dyDescent="0.3">
      <c r="A27" s="339"/>
      <c r="B27" s="10"/>
      <c r="C27" s="11"/>
      <c r="D27" s="12">
        <v>1</v>
      </c>
      <c r="E27" s="12">
        <v>14.5</v>
      </c>
      <c r="F27" s="13">
        <v>1.125</v>
      </c>
      <c r="G27" s="12">
        <v>1.5</v>
      </c>
      <c r="H27" s="246">
        <f>D27*IF(OR(E27=0,E27="-"),1,E27)*IF(OR(F27=0,F27="-"),1,F27)*IF(OR(G27=0,G27="-"),1,G27)</f>
        <v>24.46875</v>
      </c>
      <c r="I27" s="14" t="s">
        <v>14</v>
      </c>
      <c r="J27" s="15"/>
      <c r="K27" s="16"/>
      <c r="L27" s="17"/>
    </row>
    <row r="28" spans="1:12" ht="15.6" x14ac:dyDescent="0.3">
      <c r="A28" s="339"/>
      <c r="B28" s="10"/>
      <c r="C28" s="11"/>
      <c r="D28" s="12">
        <v>2</v>
      </c>
      <c r="E28" s="12">
        <v>6.75</v>
      </c>
      <c r="F28" s="13">
        <v>1.5</v>
      </c>
      <c r="G28" s="12">
        <v>1</v>
      </c>
      <c r="H28" s="246">
        <f>D28*IF(OR(E28=0,E28="-"),1,E28)*IF(OR(F28=0,F28="-"),1,F28)*IF(OR(G28=0,G28="-"),1,G28)</f>
        <v>20.25</v>
      </c>
      <c r="I28" s="14" t="s">
        <v>14</v>
      </c>
      <c r="J28" s="15"/>
      <c r="K28" s="16"/>
      <c r="L28" s="17"/>
    </row>
    <row r="29" spans="1:12" ht="15.6" x14ac:dyDescent="0.3">
      <c r="A29" s="339"/>
      <c r="B29" s="10"/>
      <c r="C29" s="11"/>
      <c r="D29" s="12">
        <v>2</v>
      </c>
      <c r="E29" s="12">
        <v>6.75</v>
      </c>
      <c r="F29" s="13">
        <v>1.125</v>
      </c>
      <c r="G29" s="12">
        <v>1.5</v>
      </c>
      <c r="H29" s="246">
        <f>D29*IF(OR(E29=0,E29="-"),1,E29)*IF(OR(F29=0,F29="-"),1,F29)*IF(OR(G29=0,G29="-"),1,G29)</f>
        <v>22.78125</v>
      </c>
      <c r="I29" s="14" t="s">
        <v>14</v>
      </c>
      <c r="J29" s="15"/>
      <c r="K29" s="16"/>
      <c r="L29" s="17"/>
    </row>
    <row r="30" spans="1:12" ht="15.6" x14ac:dyDescent="0.3">
      <c r="A30" s="339"/>
      <c r="B30" s="6"/>
      <c r="C30" s="39" t="s">
        <v>16</v>
      </c>
      <c r="D30" s="39">
        <v>1</v>
      </c>
      <c r="E30" s="39">
        <v>14</v>
      </c>
      <c r="F30" s="39">
        <v>2.25</v>
      </c>
      <c r="G30" s="39">
        <v>0.5</v>
      </c>
      <c r="H30" s="246">
        <f>D30*IF(OR(E30=0,E30="-"),1,E30)*IF(OR(F30=0,F30="-"),1,F30)*IF(OR(G30=0,G30="-"),1,G30)</f>
        <v>15.75</v>
      </c>
      <c r="I30" s="14" t="s">
        <v>14</v>
      </c>
      <c r="J30" s="15"/>
      <c r="K30" s="16"/>
      <c r="L30" s="17"/>
    </row>
    <row r="31" spans="1:12" ht="15.6" x14ac:dyDescent="0.3">
      <c r="A31" s="339"/>
      <c r="B31" s="6"/>
      <c r="C31" s="39"/>
      <c r="D31" s="39">
        <v>1</v>
      </c>
      <c r="E31" s="39">
        <v>14</v>
      </c>
      <c r="F31" s="39">
        <v>1.875</v>
      </c>
      <c r="G31" s="39">
        <v>0.5</v>
      </c>
      <c r="H31" s="246">
        <f>D31*IF(OR(E31=0,E31="-"),1,E31)*IF(OR(F31=0,F31="-"),1,F31)*IF(OR(G31=0,G31="-"),1,G31)</f>
        <v>13.125</v>
      </c>
      <c r="I31" s="14" t="s">
        <v>14</v>
      </c>
      <c r="J31" s="15"/>
      <c r="K31" s="16"/>
      <c r="L31" s="17"/>
    </row>
    <row r="32" spans="1:12" ht="15.6" x14ac:dyDescent="0.3">
      <c r="A32" s="339"/>
      <c r="B32" s="6"/>
      <c r="C32" s="39"/>
      <c r="D32" s="39">
        <v>1</v>
      </c>
      <c r="E32" s="39">
        <v>14</v>
      </c>
      <c r="F32" s="39">
        <v>1.5</v>
      </c>
      <c r="G32" s="39">
        <v>0.5</v>
      </c>
      <c r="H32" s="246">
        <f>D32*IF(OR(E32=0,E32="-"),1,E32)*IF(OR(F32=0,F32="-"),1,F32)*IF(OR(G32=0,G32="-"),1,G32)</f>
        <v>10.5</v>
      </c>
      <c r="I32" s="14" t="s">
        <v>14</v>
      </c>
      <c r="J32" s="15"/>
      <c r="K32" s="16"/>
      <c r="L32" s="17"/>
    </row>
    <row r="33" spans="1:12" ht="15.6" x14ac:dyDescent="0.3">
      <c r="A33" s="339"/>
      <c r="B33" s="6"/>
      <c r="C33" s="39"/>
      <c r="D33" s="39">
        <v>1</v>
      </c>
      <c r="E33" s="39">
        <v>14</v>
      </c>
      <c r="F33" s="39">
        <v>1.125</v>
      </c>
      <c r="G33" s="39">
        <v>1</v>
      </c>
      <c r="H33" s="246">
        <f>D33*IF(OR(E33=0,E33="-"),1,E33)*IF(OR(F33=0,F33="-"),1,F33)*IF(OR(G33=0,G33="-"),1,G33)</f>
        <v>15.75</v>
      </c>
      <c r="I33" s="14" t="s">
        <v>14</v>
      </c>
      <c r="J33" s="15"/>
      <c r="K33" s="16"/>
      <c r="L33" s="17"/>
    </row>
    <row r="34" spans="1:12" ht="15.6" x14ac:dyDescent="0.3">
      <c r="A34" s="339"/>
      <c r="B34" s="6"/>
      <c r="C34" s="39"/>
      <c r="D34" s="39">
        <v>1</v>
      </c>
      <c r="E34" s="39">
        <v>14</v>
      </c>
      <c r="F34" s="39">
        <v>0.75</v>
      </c>
      <c r="G34" s="39">
        <v>1</v>
      </c>
      <c r="H34" s="246">
        <f>D34*IF(OR(E34=0,E34="-"),1,E34)*IF(OR(F34=0,F34="-"),1,F34)*IF(OR(G34=0,G34="-"),1,G34)</f>
        <v>10.5</v>
      </c>
      <c r="I34" s="14" t="s">
        <v>14</v>
      </c>
      <c r="J34" s="15"/>
      <c r="K34" s="16"/>
      <c r="L34" s="17"/>
    </row>
    <row r="35" spans="1:12" ht="15.6" x14ac:dyDescent="0.3">
      <c r="A35" s="339"/>
      <c r="B35" s="6"/>
      <c r="C35" s="39"/>
      <c r="D35" s="39">
        <v>1</v>
      </c>
      <c r="E35" s="39">
        <f>2.75-((2.25-0.75)/2)</f>
        <v>2</v>
      </c>
      <c r="F35" s="39">
        <v>2.25</v>
      </c>
      <c r="G35" s="39">
        <v>0.5</v>
      </c>
      <c r="H35" s="246">
        <f>D35*IF(OR(E35=0,E35="-"),1,E35)*IF(OR(F35=0,F35="-"),1,F35)*IF(OR(G35=0,G35="-"),1,G35)</f>
        <v>2.25</v>
      </c>
      <c r="I35" s="14" t="s">
        <v>14</v>
      </c>
      <c r="J35" s="15"/>
      <c r="K35" s="16"/>
      <c r="L35" s="17"/>
    </row>
    <row r="36" spans="1:12" ht="15.6" x14ac:dyDescent="0.3">
      <c r="A36" s="339"/>
      <c r="B36" s="6"/>
      <c r="C36" s="39"/>
      <c r="D36" s="39">
        <v>1</v>
      </c>
      <c r="E36" s="39">
        <f>2.75-((1.875-0.75)/2)</f>
        <v>2.1875</v>
      </c>
      <c r="F36" s="39">
        <v>1.875</v>
      </c>
      <c r="G36" s="39">
        <v>0.5</v>
      </c>
      <c r="H36" s="246">
        <f>D36*IF(OR(E36=0,E36="-"),1,E36)*IF(OR(F36=0,F36="-"),1,F36)*IF(OR(G36=0,G36="-"),1,G36)</f>
        <v>2.05078125</v>
      </c>
      <c r="I36" s="14" t="s">
        <v>14</v>
      </c>
      <c r="J36" s="15"/>
      <c r="K36" s="16"/>
      <c r="L36" s="17"/>
    </row>
    <row r="37" spans="1:12" ht="15.6" x14ac:dyDescent="0.3">
      <c r="A37" s="339"/>
      <c r="B37" s="6"/>
      <c r="C37" s="39"/>
      <c r="D37" s="39">
        <v>1</v>
      </c>
      <c r="E37" s="39">
        <f>2.75-((1.5-0.75)/2)</f>
        <v>2.375</v>
      </c>
      <c r="F37" s="39">
        <v>1.5</v>
      </c>
      <c r="G37" s="39">
        <v>0.5</v>
      </c>
      <c r="H37" s="246">
        <f>D37*IF(OR(E37=0,E37="-"),1,E37)*IF(OR(F37=0,F37="-"),1,F37)*IF(OR(G37=0,G37="-"),1,G37)</f>
        <v>1.78125</v>
      </c>
      <c r="I37" s="14" t="s">
        <v>14</v>
      </c>
      <c r="J37" s="15"/>
      <c r="K37" s="16"/>
      <c r="L37" s="17"/>
    </row>
    <row r="38" spans="1:12" ht="15.6" x14ac:dyDescent="0.3">
      <c r="A38" s="339"/>
      <c r="B38" s="6"/>
      <c r="C38" s="39"/>
      <c r="D38" s="39">
        <v>1</v>
      </c>
      <c r="E38" s="39">
        <f>2.75-((1.125-0.75)/2)</f>
        <v>2.5625</v>
      </c>
      <c r="F38" s="39">
        <v>1.125</v>
      </c>
      <c r="G38" s="39">
        <v>1</v>
      </c>
      <c r="H38" s="246">
        <f>D38*IF(OR(E38=0,E38="-"),1,E38)*IF(OR(F38=0,F38="-"),1,F38)*IF(OR(G38=0,G38="-"),1,G38)</f>
        <v>2.8828125</v>
      </c>
      <c r="I38" s="14" t="s">
        <v>14</v>
      </c>
      <c r="J38" s="15"/>
      <c r="K38" s="16"/>
      <c r="L38" s="17"/>
    </row>
    <row r="39" spans="1:12" ht="15.6" x14ac:dyDescent="0.3">
      <c r="A39" s="339"/>
      <c r="B39" s="6"/>
      <c r="C39" s="39"/>
      <c r="D39" s="39">
        <v>1</v>
      </c>
      <c r="E39" s="39">
        <f>2.75-((0.75-0.75)/2)</f>
        <v>2.75</v>
      </c>
      <c r="F39" s="39">
        <v>0.75</v>
      </c>
      <c r="G39" s="39">
        <v>1</v>
      </c>
      <c r="H39" s="246">
        <f>D39*IF(OR(E39=0,E39="-"),1,E39)*IF(OR(F39=0,F39="-"),1,F39)*IF(OR(G39=0,G39="-"),1,G39)</f>
        <v>2.0625</v>
      </c>
      <c r="I39" s="14" t="s">
        <v>14</v>
      </c>
      <c r="J39" s="15"/>
      <c r="K39" s="16"/>
      <c r="L39" s="17"/>
    </row>
    <row r="40" spans="1:12" ht="15.6" x14ac:dyDescent="0.3">
      <c r="A40" s="339"/>
      <c r="B40" s="6"/>
      <c r="C40" s="39" t="s">
        <v>26</v>
      </c>
      <c r="D40" s="39">
        <v>1</v>
      </c>
      <c r="E40" s="39">
        <v>9.25</v>
      </c>
      <c r="F40" s="39">
        <v>2</v>
      </c>
      <c r="G40" s="39">
        <v>0.58299999999999996</v>
      </c>
      <c r="H40" s="246">
        <f>D40*IF(OR(E40=0,E40="-"),1,E40)*IF(OR(F40=0,F40="-"),1,F40)*IF(OR(G40=0,G40="-"),1,G40)</f>
        <v>10.785499999999999</v>
      </c>
      <c r="I40" s="14" t="s">
        <v>14</v>
      </c>
      <c r="J40" s="15"/>
      <c r="K40" s="16"/>
      <c r="L40" s="17"/>
    </row>
    <row r="41" spans="1:12" ht="15.6" x14ac:dyDescent="0.3">
      <c r="A41" s="339"/>
      <c r="B41" s="6"/>
      <c r="C41" s="39"/>
      <c r="D41" s="39">
        <v>1</v>
      </c>
      <c r="E41" s="39">
        <v>8.4166000000000007</v>
      </c>
      <c r="F41" s="39">
        <v>2</v>
      </c>
      <c r="G41" s="39">
        <v>0.58299999999999996</v>
      </c>
      <c r="H41" s="246">
        <f>D41*IF(OR(E41=0,E41="-"),1,E41)*IF(OR(F41=0,F41="-"),1,F41)*IF(OR(G41=0,G41="-"),1,G41)</f>
        <v>9.8137556000000004</v>
      </c>
      <c r="I41" s="14" t="s">
        <v>14</v>
      </c>
      <c r="J41" s="15"/>
      <c r="K41" s="16"/>
      <c r="L41" s="17"/>
    </row>
    <row r="42" spans="1:12" ht="15.6" x14ac:dyDescent="0.3">
      <c r="A42" s="339"/>
      <c r="B42" s="6"/>
      <c r="C42" s="39"/>
      <c r="D42" s="39">
        <v>1</v>
      </c>
      <c r="E42" s="39">
        <v>7.5830000000000002</v>
      </c>
      <c r="F42" s="39">
        <v>2</v>
      </c>
      <c r="G42" s="39">
        <v>0.58299999999999996</v>
      </c>
      <c r="H42" s="246">
        <f>D42*IF(OR(E42=0,E42="-"),1,E42)*IF(OR(F42=0,F42="-"),1,F42)*IF(OR(G42=0,G42="-"),1,G42)</f>
        <v>8.8417779999999997</v>
      </c>
      <c r="I42" s="14" t="s">
        <v>14</v>
      </c>
      <c r="J42" s="15"/>
      <c r="K42" s="16"/>
      <c r="L42" s="17"/>
    </row>
    <row r="43" spans="1:12" ht="15.6" x14ac:dyDescent="0.3">
      <c r="A43" s="339"/>
      <c r="B43" s="6"/>
      <c r="C43" s="39"/>
      <c r="D43" s="39">
        <v>1</v>
      </c>
      <c r="E43" s="39">
        <v>6.75</v>
      </c>
      <c r="F43" s="39">
        <v>2</v>
      </c>
      <c r="G43" s="39">
        <v>0.58299999999999996</v>
      </c>
      <c r="H43" s="246">
        <f>D43*IF(OR(E43=0,E43="-"),1,E43)*IF(OR(F43=0,F43="-"),1,F43)*IF(OR(G43=0,G43="-"),1,G43)</f>
        <v>7.8704999999999998</v>
      </c>
      <c r="I43" s="14" t="s">
        <v>14</v>
      </c>
      <c r="J43" s="15"/>
      <c r="K43" s="16"/>
      <c r="L43" s="17"/>
    </row>
    <row r="44" spans="1:12" ht="15.6" x14ac:dyDescent="0.3">
      <c r="A44" s="340"/>
      <c r="B44" s="40"/>
      <c r="C44" s="41"/>
      <c r="D44" s="41"/>
      <c r="E44" s="41"/>
      <c r="F44" s="266" t="s">
        <v>17</v>
      </c>
      <c r="G44" s="266"/>
      <c r="H44" s="245">
        <f>SUM(H20:INDEX(H:H,ROW()-1))</f>
        <v>569.65137734999996</v>
      </c>
      <c r="I44" s="23" t="s">
        <v>14</v>
      </c>
      <c r="J44" s="24"/>
      <c r="K44" s="322">
        <f>0</f>
        <v>0</v>
      </c>
      <c r="L44" s="25"/>
    </row>
    <row r="45" spans="1:12" ht="46.8" x14ac:dyDescent="0.3">
      <c r="A45" s="341"/>
      <c r="B45" s="42"/>
      <c r="C45" s="43"/>
      <c r="D45" s="43"/>
      <c r="E45" s="267" t="s">
        <v>18</v>
      </c>
      <c r="F45" s="267"/>
      <c r="G45" s="267"/>
      <c r="H45" s="328">
        <f>ROUND(H44*0.0283,3)</f>
        <v>16.120999999999999</v>
      </c>
      <c r="I45" s="30" t="s">
        <v>19</v>
      </c>
      <c r="J45" s="24" t="s">
        <v>27</v>
      </c>
      <c r="K45" s="323">
        <f>IF(B19="7.21.2",IF(J45="Labour Rate Amnd",823,IF(J45="Material Rate Amnd",3144,IF(J45="Through Rate Amnd",3968,IF(J45="Labour Rate",387,IF(J45="Material Rate",3144,IF(J45="Through Rate",3531,0)))))),"")</f>
        <v>823</v>
      </c>
      <c r="L45" s="319">
        <f>IF(H45*K45&lt;&gt;0,H45*K45,0)</f>
        <v>13267.582999999999</v>
      </c>
    </row>
    <row r="46" spans="1:12" ht="13.95" customHeight="1" x14ac:dyDescent="0.3">
      <c r="A46" s="342"/>
      <c r="B46" s="32"/>
      <c r="C46" s="33"/>
      <c r="D46" s="34"/>
      <c r="E46" s="34"/>
      <c r="F46" s="35"/>
      <c r="G46" s="34"/>
      <c r="H46" s="7"/>
      <c r="I46" s="36"/>
      <c r="J46" s="8"/>
      <c r="K46" s="9"/>
      <c r="L46" s="37"/>
    </row>
    <row r="47" spans="1:12" s="273" customFormat="1" ht="148.19999999999999" x14ac:dyDescent="0.3">
      <c r="A47" s="343">
        <f>IFERROR(LOOKUP(2,1/(ISNUMBER($A$2:$A$46)),$A$2:$A$46),0)+1</f>
        <v>4</v>
      </c>
      <c r="B47" s="268" t="s">
        <v>28</v>
      </c>
      <c r="C47" s="308" t="s">
        <v>192</v>
      </c>
      <c r="D47" s="282"/>
      <c r="E47" s="283"/>
      <c r="F47" s="284"/>
      <c r="G47" s="283"/>
      <c r="H47" s="44"/>
      <c r="I47" s="285"/>
      <c r="J47" s="8"/>
      <c r="K47" s="9"/>
      <c r="L47" s="286"/>
    </row>
    <row r="48" spans="1:12" ht="16.2" x14ac:dyDescent="0.3">
      <c r="A48" s="339"/>
      <c r="B48" s="45"/>
      <c r="C48" s="46" t="s">
        <v>29</v>
      </c>
      <c r="D48" s="47"/>
      <c r="E48" s="47"/>
      <c r="F48" s="48"/>
      <c r="G48" s="47"/>
      <c r="H48" s="49"/>
      <c r="I48" s="50"/>
      <c r="J48" s="15"/>
      <c r="K48" s="16"/>
      <c r="L48" s="17"/>
    </row>
    <row r="49" spans="1:12" ht="15.6" x14ac:dyDescent="0.3">
      <c r="A49" s="339"/>
      <c r="B49" s="45"/>
      <c r="C49" s="51" t="s">
        <v>30</v>
      </c>
      <c r="D49" s="47">
        <f>2</f>
        <v>2</v>
      </c>
      <c r="E49" s="47">
        <v>4</v>
      </c>
      <c r="F49" s="48">
        <v>14.5</v>
      </c>
      <c r="G49" s="47"/>
      <c r="H49" s="246">
        <f>D49*IF(OR(E49=0,E49="-"),1,E49)*IF(OR(F49=0,F49="-"),1,F49)*IF(OR(G49=0,G49="-"),1,G49)</f>
        <v>116</v>
      </c>
      <c r="I49" s="50" t="s">
        <v>31</v>
      </c>
      <c r="J49" s="15"/>
      <c r="K49" s="16"/>
      <c r="L49" s="17"/>
    </row>
    <row r="50" spans="1:12" ht="15.6" x14ac:dyDescent="0.3">
      <c r="A50" s="339"/>
      <c r="B50" s="45"/>
      <c r="C50" s="51"/>
      <c r="D50" s="47">
        <v>3</v>
      </c>
      <c r="E50" s="47">
        <v>4</v>
      </c>
      <c r="F50" s="48">
        <f>6.75+1.5</f>
        <v>8.25</v>
      </c>
      <c r="G50" s="47"/>
      <c r="H50" s="246">
        <f>D50*IF(OR(E50=0,E50="-"),1,E50)*IF(OR(F50=0,F50="-"),1,F50)*IF(OR(G50=0,G50="-"),1,G50)</f>
        <v>99</v>
      </c>
      <c r="I50" s="50" t="s">
        <v>31</v>
      </c>
      <c r="J50" s="15"/>
      <c r="K50" s="16"/>
      <c r="L50" s="17"/>
    </row>
    <row r="51" spans="1:12" ht="15.6" x14ac:dyDescent="0.3">
      <c r="A51" s="339"/>
      <c r="B51" s="45"/>
      <c r="C51" s="51" t="s">
        <v>32</v>
      </c>
      <c r="D51" s="47">
        <v>22</v>
      </c>
      <c r="E51" s="47">
        <v>6.5</v>
      </c>
      <c r="F51" s="48"/>
      <c r="G51" s="47"/>
      <c r="H51" s="246">
        <f>D51*IF(OR(E51=0,E51="-"),1,E51)*IF(OR(F51=0,F51="-"),1,F51)*IF(OR(G51=0,G51="-"),1,G51)</f>
        <v>143</v>
      </c>
      <c r="I51" s="50" t="s">
        <v>31</v>
      </c>
      <c r="J51" s="15"/>
      <c r="K51" s="16"/>
      <c r="L51" s="17"/>
    </row>
    <row r="52" spans="1:12" ht="15.6" x14ac:dyDescent="0.3">
      <c r="A52" s="339"/>
      <c r="B52" s="45"/>
      <c r="C52" s="51"/>
      <c r="D52" s="47">
        <v>13</v>
      </c>
      <c r="E52" s="47">
        <v>11.5</v>
      </c>
      <c r="F52" s="48"/>
      <c r="G52" s="47"/>
      <c r="H52" s="246">
        <f>D52*IF(OR(E52=0,E52="-"),1,E52)*IF(OR(F52=0,F52="-"),1,F52)*IF(OR(G52=0,G52="-"),1,G52)</f>
        <v>149.5</v>
      </c>
      <c r="I52" s="50" t="s">
        <v>31</v>
      </c>
      <c r="J52" s="15"/>
      <c r="K52" s="16"/>
      <c r="L52" s="17"/>
    </row>
    <row r="53" spans="1:12" ht="15.6" x14ac:dyDescent="0.3">
      <c r="A53" s="339"/>
      <c r="B53" s="45"/>
      <c r="C53" s="51"/>
      <c r="D53" s="47">
        <v>29</v>
      </c>
      <c r="E53" s="47">
        <v>7.5</v>
      </c>
      <c r="F53" s="48"/>
      <c r="G53" s="47"/>
      <c r="H53" s="246">
        <f>D53*IF(OR(E53=0,E53="-"),1,E53)*IF(OR(F53=0,F53="-"),1,F53)*IF(OR(G53=0,G53="-"),1,G53)</f>
        <v>217.5</v>
      </c>
      <c r="I53" s="50" t="s">
        <v>31</v>
      </c>
      <c r="J53" s="15"/>
      <c r="K53" s="16"/>
      <c r="L53" s="17"/>
    </row>
    <row r="54" spans="1:12" ht="15.6" x14ac:dyDescent="0.3">
      <c r="A54" s="340"/>
      <c r="B54" s="40"/>
      <c r="C54" s="52"/>
      <c r="D54" s="21"/>
      <c r="E54" s="21"/>
      <c r="F54" s="251" t="s">
        <v>33</v>
      </c>
      <c r="G54" s="251"/>
      <c r="H54" s="245">
        <f>SUM(H49:INDEX(H:H,ROW()-1))</f>
        <v>725</v>
      </c>
      <c r="I54" s="23" t="s">
        <v>31</v>
      </c>
      <c r="J54" s="24"/>
      <c r="K54" s="16"/>
      <c r="L54" s="25"/>
    </row>
    <row r="55" spans="1:12" ht="15.6" x14ac:dyDescent="0.3">
      <c r="A55" s="341"/>
      <c r="B55" s="42"/>
      <c r="C55" s="53"/>
      <c r="D55" s="29"/>
      <c r="E55" s="248" t="s">
        <v>34</v>
      </c>
      <c r="F55" s="248"/>
      <c r="G55" s="248"/>
      <c r="H55" s="328">
        <f>ROUND(H54*0.3048,3)</f>
        <v>220.98</v>
      </c>
      <c r="I55" s="54" t="s">
        <v>35</v>
      </c>
      <c r="J55" s="24"/>
      <c r="K55" s="16"/>
      <c r="L55" s="55"/>
    </row>
    <row r="56" spans="1:12" ht="31.05" customHeight="1" x14ac:dyDescent="0.3">
      <c r="A56" s="344"/>
      <c r="B56" s="56"/>
      <c r="C56" s="57"/>
      <c r="D56" s="58"/>
      <c r="E56" s="265" t="s">
        <v>36</v>
      </c>
      <c r="F56" s="265"/>
      <c r="G56" s="265"/>
      <c r="H56" s="328">
        <f>(H55*12^2)/162</f>
        <v>196.42666666666665</v>
      </c>
      <c r="I56" s="59" t="s">
        <v>37</v>
      </c>
      <c r="J56" s="60" t="s">
        <v>38</v>
      </c>
      <c r="K56" s="16"/>
      <c r="L56" s="61"/>
    </row>
    <row r="57" spans="1:12" ht="13.95" customHeight="1" x14ac:dyDescent="0.3">
      <c r="A57" s="345"/>
      <c r="B57" s="62"/>
      <c r="C57" s="63"/>
      <c r="D57" s="64"/>
      <c r="E57" s="63"/>
      <c r="F57" s="63"/>
      <c r="G57" s="63"/>
      <c r="H57" s="65"/>
      <c r="I57" s="66"/>
      <c r="J57" s="67"/>
      <c r="K57" s="68"/>
      <c r="L57" s="69"/>
    </row>
    <row r="58" spans="1:12" ht="13.95" customHeight="1" x14ac:dyDescent="0.3">
      <c r="A58" s="346"/>
      <c r="B58" s="70"/>
      <c r="C58" s="71" t="s">
        <v>39</v>
      </c>
      <c r="D58" s="72"/>
      <c r="E58" s="73"/>
      <c r="F58" s="73"/>
      <c r="G58" s="73"/>
      <c r="H58" s="74"/>
      <c r="I58" s="75"/>
      <c r="J58" s="76"/>
      <c r="K58" s="77"/>
      <c r="L58" s="78"/>
    </row>
    <row r="59" spans="1:12" ht="13.95" customHeight="1" x14ac:dyDescent="0.3">
      <c r="A59" s="346"/>
      <c r="B59" s="70"/>
      <c r="C59" s="73" t="s">
        <v>40</v>
      </c>
      <c r="D59" s="72">
        <v>2</v>
      </c>
      <c r="E59" s="73">
        <v>28</v>
      </c>
      <c r="F59" s="73">
        <f>((7+7+2.5)*2)/12</f>
        <v>2.75</v>
      </c>
      <c r="G59" s="73"/>
      <c r="H59" s="329">
        <f>D59*IF(OR(E59=0,E59="-"),1,E59)*IF(OR(F59=0,F59="-"),1,F59)*IF(OR(G59=0,G59="-"),1,G59)</f>
        <v>154</v>
      </c>
      <c r="I59" s="75" t="s">
        <v>31</v>
      </c>
      <c r="J59" s="76"/>
      <c r="K59" s="77"/>
      <c r="L59" s="78"/>
    </row>
    <row r="60" spans="1:12" ht="13.95" customHeight="1" x14ac:dyDescent="0.3">
      <c r="A60" s="346"/>
      <c r="B60" s="70"/>
      <c r="C60" s="73"/>
      <c r="D60" s="72">
        <v>3</v>
      </c>
      <c r="E60" s="73">
        <v>12</v>
      </c>
      <c r="F60" s="73">
        <f>((7+7+2.5)*2)/12</f>
        <v>2.75</v>
      </c>
      <c r="G60" s="73"/>
      <c r="H60" s="329">
        <f>D60*IF(OR(E60=0,E60="-"),1,E60)*IF(OR(F60=0,F60="-"),1,F60)*IF(OR(G60=0,G60="-"),1,G60)</f>
        <v>99</v>
      </c>
      <c r="I60" s="75" t="s">
        <v>31</v>
      </c>
      <c r="J60" s="76"/>
      <c r="K60" s="77"/>
      <c r="L60" s="78"/>
    </row>
    <row r="61" spans="1:12" ht="13.95" customHeight="1" x14ac:dyDescent="0.3">
      <c r="A61" s="347"/>
      <c r="B61" s="79"/>
      <c r="C61" s="80"/>
      <c r="D61" s="79"/>
      <c r="E61" s="80"/>
      <c r="F61" s="262" t="s">
        <v>33</v>
      </c>
      <c r="G61" s="262"/>
      <c r="H61" s="330">
        <f>SUM(H59:INDEX(H:H,ROW()-1))</f>
        <v>253</v>
      </c>
      <c r="I61" s="81" t="s">
        <v>31</v>
      </c>
      <c r="J61" s="82"/>
      <c r="K61" s="77"/>
      <c r="L61" s="83"/>
    </row>
    <row r="62" spans="1:12" ht="15.6" x14ac:dyDescent="0.3">
      <c r="A62" s="348"/>
      <c r="B62" s="84"/>
      <c r="C62" s="85"/>
      <c r="D62" s="84"/>
      <c r="E62" s="263" t="s">
        <v>34</v>
      </c>
      <c r="F62" s="263"/>
      <c r="G62" s="263"/>
      <c r="H62" s="330">
        <f>ROUND(H61*0.3048,3)</f>
        <v>77.114000000000004</v>
      </c>
      <c r="I62" s="86" t="s">
        <v>35</v>
      </c>
      <c r="J62" s="82"/>
      <c r="K62" s="77"/>
      <c r="L62" s="87"/>
    </row>
    <row r="63" spans="1:12" ht="31.05" customHeight="1" x14ac:dyDescent="0.3">
      <c r="A63" s="351"/>
      <c r="B63" s="88"/>
      <c r="C63" s="89"/>
      <c r="D63" s="88"/>
      <c r="E63" s="264" t="s">
        <v>41</v>
      </c>
      <c r="F63" s="264"/>
      <c r="G63" s="264"/>
      <c r="H63" s="330">
        <f>(H62*8^2)/162</f>
        <v>30.46479012345679</v>
      </c>
      <c r="I63" s="90" t="s">
        <v>37</v>
      </c>
      <c r="J63" s="91" t="s">
        <v>42</v>
      </c>
      <c r="K63" s="77" t="str">
        <f>""</f>
        <v/>
      </c>
      <c r="L63" s="92"/>
    </row>
    <row r="64" spans="1:12" ht="13.95" customHeight="1" x14ac:dyDescent="0.3">
      <c r="A64" s="346"/>
      <c r="B64" s="70"/>
      <c r="C64" s="73"/>
      <c r="D64" s="72"/>
      <c r="E64" s="73"/>
      <c r="F64" s="73"/>
      <c r="G64" s="73"/>
      <c r="H64" s="74"/>
      <c r="I64" s="75"/>
      <c r="J64" s="76"/>
      <c r="K64" s="349">
        <f>0</f>
        <v>0</v>
      </c>
      <c r="L64" s="78"/>
    </row>
    <row r="65" spans="1:12" ht="28.8" x14ac:dyDescent="0.3">
      <c r="A65" s="348"/>
      <c r="B65" s="84"/>
      <c r="C65" s="85"/>
      <c r="D65" s="84"/>
      <c r="E65" s="244" t="s">
        <v>43</v>
      </c>
      <c r="F65" s="244"/>
      <c r="G65" s="244"/>
      <c r="H65" s="93">
        <f>ROUND(SUM(H56,H63),3)</f>
        <v>226.89099999999999</v>
      </c>
      <c r="I65" s="86" t="s">
        <v>44</v>
      </c>
      <c r="J65" s="82" t="s">
        <v>27</v>
      </c>
      <c r="K65" s="350">
        <f>IF(B47="6.34.6",IF(J65="Labour Rate Amnd",6,IF(J65="Material Rate Amnd",62,IF(J65="Through Rate Amnd",68,IF(J65="Labour Rate",2,IF(J65="Material Rate",59,IF(J65="Through Rate",61,0)))))),"")</f>
        <v>6</v>
      </c>
      <c r="L65" s="352">
        <f>IF(H65*K65&lt;&gt;0,H65*K65,0)</f>
        <v>1361.346</v>
      </c>
    </row>
    <row r="66" spans="1:12" ht="13.95" customHeight="1" x14ac:dyDescent="0.3">
      <c r="A66" s="345"/>
      <c r="B66" s="62"/>
      <c r="C66" s="63"/>
      <c r="D66" s="64"/>
      <c r="E66" s="63"/>
      <c r="F66" s="63"/>
      <c r="G66" s="63"/>
      <c r="H66" s="65"/>
      <c r="I66" s="66"/>
      <c r="J66" s="67"/>
      <c r="K66" s="94"/>
      <c r="L66" s="69"/>
    </row>
    <row r="67" spans="1:12" s="273" customFormat="1" ht="91.2" x14ac:dyDescent="0.3">
      <c r="A67" s="343">
        <f>IFERROR(LOOKUP(2,1/(ISNUMBER($A$2:$A$66)),$A$2:$A$66),0)+1</f>
        <v>5</v>
      </c>
      <c r="B67" s="268" t="s">
        <v>45</v>
      </c>
      <c r="C67" s="308" t="s">
        <v>191</v>
      </c>
      <c r="D67" s="282"/>
      <c r="E67" s="283"/>
      <c r="F67" s="284"/>
      <c r="G67" s="283"/>
      <c r="H67" s="44"/>
      <c r="I67" s="285"/>
      <c r="J67" s="8"/>
      <c r="K67" s="9"/>
      <c r="L67" s="286"/>
    </row>
    <row r="68" spans="1:12" ht="15.6" x14ac:dyDescent="0.3">
      <c r="A68" s="339"/>
      <c r="B68" s="45"/>
      <c r="C68" s="51" t="s">
        <v>46</v>
      </c>
      <c r="D68" s="47">
        <v>2</v>
      </c>
      <c r="E68" s="47">
        <v>14.5</v>
      </c>
      <c r="F68" s="48">
        <v>0.75</v>
      </c>
      <c r="G68" s="47">
        <v>0.75</v>
      </c>
      <c r="H68" s="246">
        <f>D68*IF(OR(E68=0,E68="-"),1,E68)*IF(OR(F68=0,F68="-"),1,F68)*IF(OR(G68=0,G68="-"),1,G68)</f>
        <v>16.3125</v>
      </c>
      <c r="I68" s="50" t="s">
        <v>14</v>
      </c>
      <c r="J68" s="15"/>
      <c r="K68" s="16"/>
      <c r="L68" s="17"/>
    </row>
    <row r="69" spans="1:12" ht="15.6" x14ac:dyDescent="0.3">
      <c r="A69" s="339"/>
      <c r="B69" s="45"/>
      <c r="C69" s="51"/>
      <c r="D69" s="47">
        <v>3</v>
      </c>
      <c r="E69" s="47">
        <v>6.75</v>
      </c>
      <c r="F69" s="48">
        <v>0.75</v>
      </c>
      <c r="G69" s="47">
        <v>0.75</v>
      </c>
      <c r="H69" s="246">
        <f>D69*IF(OR(E69=0,E69="-"),1,E69)*IF(OR(F69=0,F69="-"),1,F69)*IF(OR(G69=0,G69="-"),1,G69)</f>
        <v>11.390625</v>
      </c>
      <c r="I69" s="50" t="s">
        <v>14</v>
      </c>
      <c r="J69" s="15"/>
      <c r="K69" s="16"/>
      <c r="L69" s="17"/>
    </row>
    <row r="70" spans="1:12" ht="15.6" x14ac:dyDescent="0.3">
      <c r="A70" s="339"/>
      <c r="B70" s="45"/>
      <c r="C70" s="51" t="s">
        <v>32</v>
      </c>
      <c r="D70" s="47">
        <v>1</v>
      </c>
      <c r="E70" s="47">
        <v>11.5</v>
      </c>
      <c r="F70" s="48">
        <v>6.5</v>
      </c>
      <c r="G70" s="47">
        <v>0.5</v>
      </c>
      <c r="H70" s="246">
        <f>D70*IF(OR(E70=0,E70="-"),1,E70)*IF(OR(F70=0,F70="-"),1,F70)*IF(OR(G70=0,G70="-"),1,G70)</f>
        <v>37.375</v>
      </c>
      <c r="I70" s="50" t="s">
        <v>14</v>
      </c>
      <c r="J70" s="15"/>
      <c r="K70" s="16"/>
      <c r="L70" s="17"/>
    </row>
    <row r="71" spans="1:12" ht="15.6" x14ac:dyDescent="0.3">
      <c r="A71" s="339"/>
      <c r="B71" s="45"/>
      <c r="C71" s="51" t="s">
        <v>32</v>
      </c>
      <c r="D71" s="47">
        <v>1</v>
      </c>
      <c r="E71" s="47">
        <v>7.5</v>
      </c>
      <c r="F71" s="48">
        <v>7.5</v>
      </c>
      <c r="G71" s="47">
        <v>0.5</v>
      </c>
      <c r="H71" s="246">
        <f>D71*IF(OR(E71=0,E71="-"),1,E71)*IF(OR(F71=0,F71="-"),1,F71)*IF(OR(G71=0,G71="-"),1,G71)</f>
        <v>28.125</v>
      </c>
      <c r="I71" s="50" t="s">
        <v>14</v>
      </c>
      <c r="J71" s="15"/>
      <c r="K71" s="16"/>
      <c r="L71" s="17"/>
    </row>
    <row r="72" spans="1:12" ht="15.6" x14ac:dyDescent="0.3">
      <c r="A72" s="340"/>
      <c r="B72" s="40"/>
      <c r="C72" s="52"/>
      <c r="D72" s="21"/>
      <c r="E72" s="21"/>
      <c r="F72" s="251" t="s">
        <v>17</v>
      </c>
      <c r="G72" s="251"/>
      <c r="H72" s="245">
        <f>SUM(H68:INDEX(H:H,ROW()-1))</f>
        <v>93.203125</v>
      </c>
      <c r="I72" s="23" t="s">
        <v>14</v>
      </c>
      <c r="J72" s="24"/>
      <c r="K72" s="322">
        <f>0</f>
        <v>0</v>
      </c>
      <c r="L72" s="25"/>
    </row>
    <row r="73" spans="1:12" ht="31.2" x14ac:dyDescent="0.3">
      <c r="A73" s="341"/>
      <c r="B73" s="42"/>
      <c r="C73" s="53"/>
      <c r="D73" s="29"/>
      <c r="E73" s="248" t="s">
        <v>18</v>
      </c>
      <c r="F73" s="248"/>
      <c r="G73" s="248"/>
      <c r="H73" s="328">
        <f>ROUND(H72*0.0283,3)</f>
        <v>2.6379999999999999</v>
      </c>
      <c r="I73" s="30" t="s">
        <v>19</v>
      </c>
      <c r="J73" s="24" t="s">
        <v>22</v>
      </c>
      <c r="K73" s="323">
        <f>IF(B67="6.14.1",IF(J73="Labour Rate",1172,IF(J73="Material Rate",3203,IF(J73="Through Rate",4374,0))),"")</f>
        <v>1172</v>
      </c>
      <c r="L73" s="319">
        <f>IF(H73*K73&lt;&gt;0,H73*K73,0)</f>
        <v>3091.7359999999999</v>
      </c>
    </row>
    <row r="74" spans="1:12" ht="13.95" customHeight="1" x14ac:dyDescent="0.3">
      <c r="A74" s="342"/>
      <c r="B74" s="32"/>
      <c r="C74" s="33"/>
      <c r="D74" s="34"/>
      <c r="E74" s="34"/>
      <c r="F74" s="35"/>
      <c r="G74" s="34"/>
      <c r="H74" s="7"/>
      <c r="I74" s="36"/>
      <c r="J74" s="8"/>
      <c r="K74" s="9"/>
      <c r="L74" s="37"/>
    </row>
    <row r="75" spans="1:12" s="273" customFormat="1" ht="65.400000000000006" x14ac:dyDescent="0.3">
      <c r="A75" s="343">
        <f>IFERROR(LOOKUP(2,1/(ISNUMBER($A$2:$A$74)),$A$2:$A$74),0)+1</f>
        <v>6</v>
      </c>
      <c r="B75" s="268" t="s">
        <v>47</v>
      </c>
      <c r="C75" s="308" t="s">
        <v>190</v>
      </c>
      <c r="D75" s="282"/>
      <c r="E75" s="283"/>
      <c r="F75" s="284"/>
      <c r="G75" s="283"/>
      <c r="H75" s="7"/>
      <c r="I75" s="285"/>
      <c r="J75" s="8"/>
      <c r="K75" s="9"/>
      <c r="L75" s="286"/>
    </row>
    <row r="76" spans="1:12" ht="15.6" x14ac:dyDescent="0.3">
      <c r="A76" s="339"/>
      <c r="B76" s="10"/>
      <c r="C76" s="11" t="s">
        <v>48</v>
      </c>
      <c r="D76" s="12">
        <v>2</v>
      </c>
      <c r="E76" s="12">
        <v>14.5</v>
      </c>
      <c r="F76" s="13">
        <v>0.75</v>
      </c>
      <c r="G76" s="12">
        <v>9</v>
      </c>
      <c r="H76" s="246">
        <f>D76*IF(OR(E76=0,E76="-"),1,E76)*IF(OR(F76=0,F76="-"),1,F76)*IF(OR(G76=0,G76="-"),1,G76)</f>
        <v>195.75</v>
      </c>
      <c r="I76" s="14" t="s">
        <v>14</v>
      </c>
      <c r="J76" s="15"/>
      <c r="K76" s="16"/>
      <c r="L76" s="17"/>
    </row>
    <row r="77" spans="1:12" ht="15.6" x14ac:dyDescent="0.3">
      <c r="A77" s="339"/>
      <c r="B77" s="10"/>
      <c r="C77" s="11"/>
      <c r="D77" s="12">
        <v>3</v>
      </c>
      <c r="E77" s="12">
        <v>6.75</v>
      </c>
      <c r="F77" s="13">
        <v>0.75</v>
      </c>
      <c r="G77" s="12">
        <v>9</v>
      </c>
      <c r="H77" s="246">
        <f>D77*IF(OR(E77=0,E77="-"),1,E77)*IF(OR(F77=0,F77="-"),1,F77)*IF(OR(G77=0,G77="-"),1,G77)</f>
        <v>136.6875</v>
      </c>
      <c r="I77" s="14" t="s">
        <v>14</v>
      </c>
      <c r="J77" s="15"/>
      <c r="K77" s="16"/>
      <c r="L77" s="17"/>
    </row>
    <row r="78" spans="1:12" ht="15.6" x14ac:dyDescent="0.3">
      <c r="A78" s="339"/>
      <c r="B78" s="10"/>
      <c r="C78" s="11"/>
      <c r="D78" s="12">
        <v>-2</v>
      </c>
      <c r="E78" s="12">
        <v>2.5</v>
      </c>
      <c r="F78" s="13">
        <v>0.75</v>
      </c>
      <c r="G78" s="12">
        <v>7</v>
      </c>
      <c r="H78" s="246">
        <f>D78*IF(OR(E78=0,E78="-"),1,E78)*IF(OR(F78=0,F78="-"),1,F78)*IF(OR(G78=0,G78="-"),1,G78)</f>
        <v>-26.25</v>
      </c>
      <c r="I78" s="14" t="s">
        <v>14</v>
      </c>
      <c r="J78" s="15"/>
      <c r="K78" s="16"/>
      <c r="L78" s="17"/>
    </row>
    <row r="79" spans="1:12" ht="15.6" x14ac:dyDescent="0.3">
      <c r="A79" s="339"/>
      <c r="B79" s="10"/>
      <c r="C79" s="11" t="s">
        <v>49</v>
      </c>
      <c r="D79" s="12">
        <v>2</v>
      </c>
      <c r="E79" s="12">
        <v>14.5</v>
      </c>
      <c r="F79" s="13">
        <v>0.75</v>
      </c>
      <c r="G79" s="12">
        <v>0.5</v>
      </c>
      <c r="H79" s="246">
        <f>D79*IF(OR(E79=0,E79="-"),1,E79)*IF(OR(F79=0,F79="-"),1,F79)*IF(OR(G79=0,G79="-"),1,G79)</f>
        <v>10.875</v>
      </c>
      <c r="I79" s="14" t="s">
        <v>14</v>
      </c>
      <c r="J79" s="15"/>
      <c r="K79" s="16"/>
      <c r="L79" s="17"/>
    </row>
    <row r="80" spans="1:12" ht="15.6" x14ac:dyDescent="0.3">
      <c r="A80" s="339"/>
      <c r="B80" s="10"/>
      <c r="C80" s="11"/>
      <c r="D80" s="12">
        <v>2</v>
      </c>
      <c r="E80" s="12">
        <f>6.75+2</f>
        <v>8.75</v>
      </c>
      <c r="F80" s="13">
        <v>0.75</v>
      </c>
      <c r="G80" s="12">
        <v>0.5</v>
      </c>
      <c r="H80" s="246">
        <f>D80*IF(OR(E80=0,E80="-"),1,E80)*IF(OR(F80=0,F80="-"),1,F80)*IF(OR(G80=0,G80="-"),1,G80)</f>
        <v>6.5625</v>
      </c>
      <c r="I80" s="14" t="s">
        <v>14</v>
      </c>
      <c r="J80" s="15"/>
      <c r="K80" s="16"/>
      <c r="L80" s="17"/>
    </row>
    <row r="81" spans="1:12" ht="15.6" x14ac:dyDescent="0.3">
      <c r="A81" s="339"/>
      <c r="B81" s="6"/>
      <c r="C81" s="95" t="s">
        <v>50</v>
      </c>
      <c r="D81" s="96">
        <v>1</v>
      </c>
      <c r="E81" s="95">
        <f>142.833-14.5</f>
        <v>128.333</v>
      </c>
      <c r="F81" s="95">
        <v>0.75</v>
      </c>
      <c r="G81" s="95">
        <v>0.5</v>
      </c>
      <c r="H81" s="331">
        <f>D81*IF(OR(E81=0,E81="-"),1,E81)*IF(OR(F81=0,F81="-"),1,F81)*IF(OR(G81=0,G81="-"),1,G81)</f>
        <v>48.124875000000003</v>
      </c>
      <c r="I81" s="97" t="s">
        <v>14</v>
      </c>
      <c r="J81" s="15"/>
      <c r="K81" s="16"/>
      <c r="L81" s="17"/>
    </row>
    <row r="82" spans="1:12" ht="15.6" x14ac:dyDescent="0.3">
      <c r="A82" s="339"/>
      <c r="B82" s="6"/>
      <c r="C82" s="95" t="s">
        <v>51</v>
      </c>
      <c r="D82" s="96">
        <v>1</v>
      </c>
      <c r="E82" s="95">
        <f>57.4166+2-6.75-1.5</f>
        <v>51.166600000000003</v>
      </c>
      <c r="F82" s="95">
        <v>0.75</v>
      </c>
      <c r="G82" s="95">
        <v>0.5</v>
      </c>
      <c r="H82" s="331">
        <f>D82*IF(OR(E82=0,E82="-"),1,E82)*IF(OR(F82=0,F82="-"),1,F82)*IF(OR(G82=0,G82="-"),1,G82)</f>
        <v>19.187474999999999</v>
      </c>
      <c r="I82" s="97" t="s">
        <v>14</v>
      </c>
      <c r="J82" s="15"/>
      <c r="K82" s="16"/>
      <c r="L82" s="17"/>
    </row>
    <row r="83" spans="1:12" ht="15.6" x14ac:dyDescent="0.3">
      <c r="A83" s="339"/>
      <c r="B83" s="6"/>
      <c r="C83" s="95" t="s">
        <v>52</v>
      </c>
      <c r="D83" s="96">
        <f>12+12+5</f>
        <v>29</v>
      </c>
      <c r="E83" s="95">
        <v>1.5</v>
      </c>
      <c r="F83" s="95">
        <v>0.75</v>
      </c>
      <c r="G83" s="95">
        <v>1.5</v>
      </c>
      <c r="H83" s="331">
        <f>D83*IF(OR(E83=0,E83="-"),1,E83)*IF(OR(F83=0,F83="-"),1,F83)*IF(OR(G83=0,G83="-"),1,G83)</f>
        <v>48.9375</v>
      </c>
      <c r="I83" s="97" t="s">
        <v>14</v>
      </c>
      <c r="J83" s="15"/>
      <c r="K83" s="16"/>
      <c r="L83" s="17"/>
    </row>
    <row r="84" spans="1:12" ht="15.6" x14ac:dyDescent="0.3">
      <c r="A84" s="339"/>
      <c r="B84" s="6"/>
      <c r="C84" s="95"/>
      <c r="D84" s="96">
        <v>4</v>
      </c>
      <c r="E84" s="95">
        <v>1.875</v>
      </c>
      <c r="F84" s="95">
        <v>0.75</v>
      </c>
      <c r="G84" s="95">
        <v>1.5</v>
      </c>
      <c r="H84" s="331">
        <f>D84*IF(OR(E84=0,E84="-"),1,E84)*IF(OR(F84=0,F84="-"),1,F84)*IF(OR(G84=0,G84="-"),1,G84)</f>
        <v>8.4375</v>
      </c>
      <c r="I84" s="97" t="s">
        <v>14</v>
      </c>
      <c r="J84" s="15"/>
      <c r="K84" s="16"/>
      <c r="L84" s="17"/>
    </row>
    <row r="85" spans="1:12" ht="15.6" x14ac:dyDescent="0.3">
      <c r="A85" s="339"/>
      <c r="B85" s="6"/>
      <c r="C85" s="95" t="s">
        <v>16</v>
      </c>
      <c r="D85" s="96">
        <v>0.5</v>
      </c>
      <c r="E85" s="95">
        <v>14</v>
      </c>
      <c r="F85" s="95">
        <v>0.75</v>
      </c>
      <c r="G85" s="95">
        <v>9.5</v>
      </c>
      <c r="H85" s="331">
        <f>D85*IF(OR(E85=0,E85="-"),1,E85)*IF(OR(F85=0,F85="-"),1,F85)*IF(OR(G85=0,G85="-"),1,G85)</f>
        <v>49.875</v>
      </c>
      <c r="I85" s="97" t="s">
        <v>14</v>
      </c>
      <c r="J85" s="15"/>
      <c r="K85" s="16"/>
      <c r="L85" s="17"/>
    </row>
    <row r="86" spans="1:12" ht="15.6" x14ac:dyDescent="0.3">
      <c r="A86" s="339"/>
      <c r="B86" s="6"/>
      <c r="C86" s="95"/>
      <c r="D86" s="96">
        <v>1</v>
      </c>
      <c r="E86" s="95">
        <f t="shared" ref="E86" si="0">3.5-0.75</f>
        <v>2.75</v>
      </c>
      <c r="F86" s="95">
        <v>0.75</v>
      </c>
      <c r="G86" s="95">
        <v>9.5</v>
      </c>
      <c r="H86" s="331">
        <f>D86*IF(OR(E86=0,E86="-"),1,E86)*IF(OR(F86=0,F86="-"),1,F86)*IF(OR(G86=0,G86="-"),1,G86)</f>
        <v>19.59375</v>
      </c>
      <c r="I86" s="97" t="s">
        <v>14</v>
      </c>
      <c r="J86" s="15"/>
      <c r="K86" s="16"/>
      <c r="L86" s="17"/>
    </row>
    <row r="87" spans="1:12" ht="15.6" x14ac:dyDescent="0.3">
      <c r="A87" s="339"/>
      <c r="B87" s="6"/>
      <c r="C87" s="95" t="s">
        <v>53</v>
      </c>
      <c r="D87" s="96">
        <v>-1</v>
      </c>
      <c r="E87" s="95">
        <v>3.5</v>
      </c>
      <c r="F87" s="95">
        <v>0.75</v>
      </c>
      <c r="G87" s="95">
        <v>7</v>
      </c>
      <c r="H87" s="331">
        <f>D87*IF(OR(E87=0,E87="-"),1,E87)*IF(OR(F87=0,F87="-"),1,F87)*IF(OR(G87=0,G87="-"),1,G87)</f>
        <v>-18.375</v>
      </c>
      <c r="I87" s="97" t="s">
        <v>14</v>
      </c>
      <c r="J87" s="15"/>
      <c r="K87" s="16"/>
      <c r="L87" s="17"/>
    </row>
    <row r="88" spans="1:12" ht="15.6" x14ac:dyDescent="0.3">
      <c r="A88" s="340"/>
      <c r="B88" s="40"/>
      <c r="C88" s="52"/>
      <c r="D88" s="21"/>
      <c r="E88" s="21"/>
      <c r="F88" s="251" t="s">
        <v>17</v>
      </c>
      <c r="G88" s="251"/>
      <c r="H88" s="245">
        <f>SUM(H76:INDEX(H:H,ROW()-1))</f>
        <v>499.40609999999992</v>
      </c>
      <c r="I88" s="23" t="s">
        <v>14</v>
      </c>
      <c r="J88" s="24"/>
      <c r="K88" s="322">
        <f>0</f>
        <v>0</v>
      </c>
      <c r="L88" s="25"/>
    </row>
    <row r="89" spans="1:12" ht="46.8" x14ac:dyDescent="0.3">
      <c r="A89" s="341"/>
      <c r="B89" s="42"/>
      <c r="C89" s="53"/>
      <c r="D89" s="29"/>
      <c r="E89" s="248" t="s">
        <v>18</v>
      </c>
      <c r="F89" s="248"/>
      <c r="G89" s="248"/>
      <c r="H89" s="328">
        <f>ROUND(H88*0.0283,3)</f>
        <v>14.132999999999999</v>
      </c>
      <c r="I89" s="30" t="s">
        <v>19</v>
      </c>
      <c r="J89" s="24" t="s">
        <v>27</v>
      </c>
      <c r="K89" s="323">
        <f>IF(B75="7.22.2",IF(J89="Labour Rate Amnd",1099,IF(J89="Material Rate Amnd",3389,IF(J89="Through Rate Amnd",4488,IF(J89="Labour Rate",572,IF(J89="Material Rate",3389,IF(J89="Through Rate",3961,0)))))),"")</f>
        <v>1099</v>
      </c>
      <c r="L89" s="319">
        <f>IF(H89*K89&lt;&gt;0,H89*K89,0)</f>
        <v>15532.166999999999</v>
      </c>
    </row>
    <row r="90" spans="1:12" ht="13.95" customHeight="1" x14ac:dyDescent="0.3">
      <c r="A90" s="342"/>
      <c r="B90" s="32"/>
      <c r="C90" s="33"/>
      <c r="D90" s="34"/>
      <c r="E90" s="34"/>
      <c r="F90" s="35"/>
      <c r="G90" s="34"/>
      <c r="H90" s="7"/>
      <c r="I90" s="36"/>
      <c r="J90" s="8"/>
      <c r="K90" s="9"/>
      <c r="L90" s="37"/>
    </row>
    <row r="91" spans="1:12" s="273" customFormat="1" ht="145.80000000000001" x14ac:dyDescent="0.3">
      <c r="A91" s="343">
        <f>IFERROR(LOOKUP(2,1/(ISNUMBER($A$2:$A$90)),$A$2:$A$90),0)+1</f>
        <v>7</v>
      </c>
      <c r="B91" s="268" t="s">
        <v>54</v>
      </c>
      <c r="C91" s="308" t="s">
        <v>189</v>
      </c>
      <c r="D91" s="282"/>
      <c r="E91" s="283"/>
      <c r="F91" s="284"/>
      <c r="G91" s="283"/>
      <c r="H91" s="7"/>
      <c r="I91" s="285"/>
      <c r="J91" s="8"/>
      <c r="K91" s="9"/>
      <c r="L91" s="286"/>
    </row>
    <row r="92" spans="1:12" ht="15.6" x14ac:dyDescent="0.3">
      <c r="A92" s="339"/>
      <c r="B92" s="45"/>
      <c r="C92" s="51"/>
      <c r="D92" s="47">
        <f>2*2</f>
        <v>4</v>
      </c>
      <c r="E92" s="47">
        <v>7</v>
      </c>
      <c r="F92" s="48"/>
      <c r="G92" s="47"/>
      <c r="H92" s="246">
        <f>D92*IF(OR(E92=0,E92="-"),1,E92)*IF(OR(F92=0,F92="-"),1,F92)*IF(OR(G92=0,G92="-"),1,G92)</f>
        <v>28</v>
      </c>
      <c r="I92" s="50" t="s">
        <v>31</v>
      </c>
      <c r="J92" s="15"/>
      <c r="K92" s="16"/>
      <c r="L92" s="17"/>
    </row>
    <row r="93" spans="1:12" ht="15.6" x14ac:dyDescent="0.3">
      <c r="A93" s="339"/>
      <c r="B93" s="45"/>
      <c r="C93" s="51"/>
      <c r="D93" s="47">
        <v>2</v>
      </c>
      <c r="E93" s="47">
        <v>2.25</v>
      </c>
      <c r="F93" s="48"/>
      <c r="G93" s="47"/>
      <c r="H93" s="246">
        <f>D93*IF(OR(E93=0,E93="-"),1,E93)*IF(OR(F93=0,F93="-"),1,F93)*IF(OR(G93=0,G93="-"),1,G93)</f>
        <v>4.5</v>
      </c>
      <c r="I93" s="50" t="s">
        <v>31</v>
      </c>
      <c r="J93" s="15"/>
      <c r="K93" s="16"/>
      <c r="L93" s="17"/>
    </row>
    <row r="94" spans="1:12" ht="15.6" x14ac:dyDescent="0.3">
      <c r="A94" s="340"/>
      <c r="B94" s="40"/>
      <c r="C94" s="52"/>
      <c r="D94" s="21"/>
      <c r="E94" s="21"/>
      <c r="F94" s="251" t="s">
        <v>33</v>
      </c>
      <c r="G94" s="251"/>
      <c r="H94" s="245">
        <f>SUM(H92:INDEX(H:H,ROW()-1))</f>
        <v>32.5</v>
      </c>
      <c r="I94" s="23" t="s">
        <v>31</v>
      </c>
      <c r="J94" s="24"/>
      <c r="K94" s="322">
        <f>0</f>
        <v>0</v>
      </c>
      <c r="L94" s="25"/>
    </row>
    <row r="95" spans="1:12" ht="31.2" x14ac:dyDescent="0.3">
      <c r="A95" s="341"/>
      <c r="B95" s="42"/>
      <c r="C95" s="53"/>
      <c r="D95" s="29"/>
      <c r="E95" s="248" t="s">
        <v>34</v>
      </c>
      <c r="F95" s="248"/>
      <c r="G95" s="248"/>
      <c r="H95" s="328">
        <f>ROUND(H94*0.3048,3)</f>
        <v>9.9060000000000006</v>
      </c>
      <c r="I95" s="30" t="s">
        <v>35</v>
      </c>
      <c r="J95" s="24" t="s">
        <v>22</v>
      </c>
      <c r="K95" s="323">
        <f>IF(B91="13.3.1.1",IF(J95="Labour Rate",30,IF(J95="Material Rate",311,IF(J95="Through Rate",341,0))),"")</f>
        <v>30</v>
      </c>
      <c r="L95" s="319">
        <f>IF(H95*K95&lt;&gt;0,H95*K95,0)</f>
        <v>297.18</v>
      </c>
    </row>
    <row r="96" spans="1:12" ht="13.95" customHeight="1" x14ac:dyDescent="0.3">
      <c r="A96" s="342"/>
      <c r="B96" s="32"/>
      <c r="C96" s="33"/>
      <c r="D96" s="34"/>
      <c r="E96" s="34"/>
      <c r="F96" s="35"/>
      <c r="G96" s="34"/>
      <c r="H96" s="7"/>
      <c r="I96" s="36"/>
      <c r="J96" s="8"/>
      <c r="K96" s="9"/>
      <c r="L96" s="37"/>
    </row>
    <row r="97" spans="1:12" s="273" customFormat="1" ht="69" x14ac:dyDescent="0.3">
      <c r="A97" s="343">
        <f>IFERROR(LOOKUP(2,1/(ISNUMBER($A$2:$A$96)),$A$2:$A$96),0)+1</f>
        <v>8</v>
      </c>
      <c r="B97" s="268" t="s">
        <v>55</v>
      </c>
      <c r="C97" s="308" t="s">
        <v>188</v>
      </c>
      <c r="D97" s="282"/>
      <c r="E97" s="283"/>
      <c r="F97" s="284"/>
      <c r="G97" s="283"/>
      <c r="H97" s="7"/>
      <c r="I97" s="285"/>
      <c r="J97" s="8"/>
      <c r="K97" s="9"/>
      <c r="L97" s="286"/>
    </row>
    <row r="98" spans="1:12" ht="16.2" x14ac:dyDescent="0.3">
      <c r="A98" s="339"/>
      <c r="B98" s="10"/>
      <c r="C98" s="98" t="s">
        <v>56</v>
      </c>
      <c r="D98" s="12"/>
      <c r="E98" s="12"/>
      <c r="F98" s="13"/>
      <c r="G98" s="12"/>
      <c r="H98" s="99"/>
      <c r="I98" s="14"/>
      <c r="J98" s="15"/>
      <c r="K98" s="16"/>
      <c r="L98" s="17"/>
    </row>
    <row r="99" spans="1:12" ht="15.6" x14ac:dyDescent="0.3">
      <c r="A99" s="339"/>
      <c r="B99" s="10"/>
      <c r="C99" s="11" t="s">
        <v>57</v>
      </c>
      <c r="D99" s="12">
        <v>6</v>
      </c>
      <c r="E99" s="12">
        <f>6.75+1.5+2</f>
        <v>10.25</v>
      </c>
      <c r="F99" s="13"/>
      <c r="G99" s="12"/>
      <c r="H99" s="246">
        <f>D99*IF(OR(E99=0,E99="-"),1,E99)*IF(OR(F99=0,F99="-"),1,F99)*IF(OR(G99=0,G99="-"),1,G99)</f>
        <v>61.5</v>
      </c>
      <c r="I99" s="14" t="s">
        <v>31</v>
      </c>
      <c r="J99" s="15"/>
      <c r="K99" s="16"/>
      <c r="L99" s="17"/>
    </row>
    <row r="100" spans="1:12" ht="15.6" x14ac:dyDescent="0.3">
      <c r="A100" s="339"/>
      <c r="B100" s="10"/>
      <c r="C100" s="11"/>
      <c r="D100" s="12">
        <v>1</v>
      </c>
      <c r="E100" s="12">
        <v>11.5</v>
      </c>
      <c r="F100" s="13"/>
      <c r="G100" s="12"/>
      <c r="H100" s="246">
        <f>D100*IF(OR(E100=0,E100="-"),1,E100)*IF(OR(F100=0,F100="-"),1,F100)*IF(OR(G100=0,G100="-"),1,G100)</f>
        <v>11.5</v>
      </c>
      <c r="I100" s="14" t="s">
        <v>31</v>
      </c>
      <c r="J100" s="15"/>
      <c r="K100" s="16"/>
      <c r="L100" s="17"/>
    </row>
    <row r="101" spans="1:12" ht="15.6" x14ac:dyDescent="0.3">
      <c r="A101" s="339"/>
      <c r="B101" s="10"/>
      <c r="C101" s="11"/>
      <c r="D101" s="12">
        <v>1</v>
      </c>
      <c r="E101" s="12">
        <v>7.5</v>
      </c>
      <c r="F101" s="13"/>
      <c r="G101" s="12"/>
      <c r="H101" s="246">
        <f>D101*IF(OR(E101=0,E101="-"),1,E101)*IF(OR(F101=0,F101="-"),1,F101)*IF(OR(G101=0,G101="-"),1,G101)</f>
        <v>7.5</v>
      </c>
      <c r="I101" s="14" t="s">
        <v>31</v>
      </c>
      <c r="J101" s="15"/>
      <c r="K101" s="16"/>
      <c r="L101" s="17"/>
    </row>
    <row r="102" spans="1:12" ht="15.6" x14ac:dyDescent="0.3">
      <c r="A102" s="340"/>
      <c r="B102" s="19"/>
      <c r="C102" s="20"/>
      <c r="D102" s="21"/>
      <c r="E102" s="21"/>
      <c r="F102" s="251" t="s">
        <v>33</v>
      </c>
      <c r="G102" s="251"/>
      <c r="H102" s="328">
        <f>SUM(H99:INDEX(H:H,ROW()-1))</f>
        <v>80.5</v>
      </c>
      <c r="I102" s="23" t="s">
        <v>31</v>
      </c>
      <c r="J102" s="24"/>
      <c r="K102" s="16"/>
      <c r="L102" s="25"/>
    </row>
    <row r="103" spans="1:12" ht="15.6" x14ac:dyDescent="0.3">
      <c r="A103" s="341"/>
      <c r="B103" s="42"/>
      <c r="C103" s="53"/>
      <c r="D103" s="29"/>
      <c r="E103" s="248" t="s">
        <v>34</v>
      </c>
      <c r="F103" s="248"/>
      <c r="G103" s="248"/>
      <c r="H103" s="328">
        <f>ROUND(H102*0.3048,3)</f>
        <v>24.536000000000001</v>
      </c>
      <c r="I103" s="54" t="s">
        <v>35</v>
      </c>
      <c r="J103" s="24"/>
      <c r="K103" s="16"/>
      <c r="L103" s="55"/>
    </row>
    <row r="104" spans="1:12" ht="31.05" customHeight="1" x14ac:dyDescent="0.3">
      <c r="A104" s="344"/>
      <c r="B104" s="56"/>
      <c r="C104" s="57"/>
      <c r="D104" s="58"/>
      <c r="E104" s="261" t="s">
        <v>58</v>
      </c>
      <c r="F104" s="261"/>
      <c r="G104" s="261"/>
      <c r="H104" s="328">
        <f>H103*14.9</f>
        <v>365.58640000000003</v>
      </c>
      <c r="I104" s="59" t="s">
        <v>37</v>
      </c>
      <c r="J104" s="60" t="s">
        <v>38</v>
      </c>
      <c r="K104" s="16"/>
      <c r="L104" s="61"/>
    </row>
    <row r="105" spans="1:12" ht="13.95" customHeight="1" x14ac:dyDescent="0.3">
      <c r="A105" s="346"/>
      <c r="B105" s="70"/>
      <c r="C105" s="73"/>
      <c r="D105" s="72"/>
      <c r="E105" s="73"/>
      <c r="F105" s="73"/>
      <c r="G105" s="73"/>
      <c r="H105" s="74"/>
      <c r="I105" s="75"/>
      <c r="J105" s="76"/>
      <c r="K105" s="349">
        <f>0</f>
        <v>0</v>
      </c>
      <c r="L105" s="78"/>
    </row>
    <row r="106" spans="1:12" ht="28.8" x14ac:dyDescent="0.3">
      <c r="A106" s="341"/>
      <c r="B106" s="100"/>
      <c r="C106" s="101"/>
      <c r="D106" s="100"/>
      <c r="E106" s="244" t="s">
        <v>59</v>
      </c>
      <c r="F106" s="244"/>
      <c r="G106" s="244"/>
      <c r="H106" s="102">
        <f>ROUND(SUM(H104),3)</f>
        <v>365.58600000000001</v>
      </c>
      <c r="I106" s="103" t="s">
        <v>44</v>
      </c>
      <c r="J106" s="104" t="s">
        <v>22</v>
      </c>
      <c r="K106" s="326">
        <f>IF(B97="13.27",IF(J106="Labour Rate",10,IF(J106="Material Rate",61,IF(J106="Through Rate",71,0))),"")</f>
        <v>10</v>
      </c>
      <c r="L106" s="321">
        <f>IF(H106*K106&lt;&gt;0,H106*K106,0)</f>
        <v>3655.86</v>
      </c>
    </row>
    <row r="107" spans="1:12" ht="13.95" customHeight="1" x14ac:dyDescent="0.3">
      <c r="A107" s="345"/>
      <c r="B107" s="62"/>
      <c r="C107" s="63"/>
      <c r="D107" s="64"/>
      <c r="E107" s="63"/>
      <c r="F107" s="63"/>
      <c r="G107" s="63"/>
      <c r="H107" s="65"/>
      <c r="I107" s="66"/>
      <c r="J107" s="67"/>
      <c r="K107" s="94"/>
      <c r="L107" s="69"/>
    </row>
    <row r="108" spans="1:12" s="273" customFormat="1" ht="90.6" x14ac:dyDescent="0.3">
      <c r="A108" s="343">
        <f>IFERROR(LOOKUP(2,1/(ISNUMBER($A$2:$A$107)),$A$2:$A$107),0)+1</f>
        <v>9</v>
      </c>
      <c r="B108" s="268" t="s">
        <v>60</v>
      </c>
      <c r="C108" s="308" t="s">
        <v>187</v>
      </c>
      <c r="D108" s="282"/>
      <c r="E108" s="283"/>
      <c r="F108" s="284"/>
      <c r="G108" s="283"/>
      <c r="H108" s="7"/>
      <c r="I108" s="285"/>
      <c r="J108" s="8"/>
      <c r="K108" s="9"/>
      <c r="L108" s="286"/>
    </row>
    <row r="109" spans="1:12" ht="15.6" x14ac:dyDescent="0.3">
      <c r="A109" s="339"/>
      <c r="B109" s="10"/>
      <c r="C109" s="11" t="s">
        <v>48</v>
      </c>
      <c r="D109" s="12">
        <v>1</v>
      </c>
      <c r="E109" s="12">
        <v>14.5</v>
      </c>
      <c r="F109" s="13">
        <f>6.75+1.5+2</f>
        <v>10.25</v>
      </c>
      <c r="G109" s="12"/>
      <c r="H109" s="246">
        <f>D109*IF(OR(E109=0,E109="-"),1,E109)*IF(OR(F109=0,F109="-"),1,F109)*IF(OR(G109=0,G109="-"),1,G109)</f>
        <v>148.625</v>
      </c>
      <c r="I109" s="14" t="s">
        <v>61</v>
      </c>
      <c r="J109" s="15"/>
      <c r="K109" s="16"/>
      <c r="L109" s="17"/>
    </row>
    <row r="110" spans="1:12" ht="15.6" x14ac:dyDescent="0.3">
      <c r="A110" s="339"/>
      <c r="B110" s="10"/>
      <c r="C110" s="11" t="s">
        <v>24</v>
      </c>
      <c r="D110" s="12">
        <v>1</v>
      </c>
      <c r="E110" s="12">
        <v>11.5</v>
      </c>
      <c r="F110" s="13">
        <v>6.5</v>
      </c>
      <c r="G110" s="12"/>
      <c r="H110" s="246">
        <f>D110*IF(OR(E110=0,E110="-"),1,E110)*IF(OR(F110=0,F110="-"),1,F110)*IF(OR(G110=0,G110="-"),1,G110)</f>
        <v>74.75</v>
      </c>
      <c r="I110" s="14" t="s">
        <v>61</v>
      </c>
      <c r="J110" s="15"/>
      <c r="K110" s="16"/>
      <c r="L110" s="17"/>
    </row>
    <row r="111" spans="1:12" ht="15.6" x14ac:dyDescent="0.3">
      <c r="A111" s="339"/>
      <c r="B111" s="10"/>
      <c r="C111" s="11"/>
      <c r="D111" s="12">
        <v>1</v>
      </c>
      <c r="E111" s="12">
        <v>7.5</v>
      </c>
      <c r="F111" s="13">
        <v>7.5</v>
      </c>
      <c r="G111" s="12"/>
      <c r="H111" s="246">
        <f>D111*IF(OR(E111=0,E111="-"),1,E111)*IF(OR(F111=0,F111="-"),1,F111)*IF(OR(G111=0,G111="-"),1,G111)</f>
        <v>56.25</v>
      </c>
      <c r="I111" s="14" t="s">
        <v>61</v>
      </c>
      <c r="J111" s="15"/>
      <c r="K111" s="16"/>
      <c r="L111" s="17"/>
    </row>
    <row r="112" spans="1:12" ht="15.6" x14ac:dyDescent="0.3">
      <c r="A112" s="340"/>
      <c r="B112" s="19"/>
      <c r="C112" s="20"/>
      <c r="D112" s="21"/>
      <c r="E112" s="21"/>
      <c r="F112" s="251" t="s">
        <v>62</v>
      </c>
      <c r="G112" s="251"/>
      <c r="H112" s="328">
        <f>SUM(H109:INDEX(H:H,ROW()-1))</f>
        <v>279.625</v>
      </c>
      <c r="I112" s="23" t="s">
        <v>61</v>
      </c>
      <c r="J112" s="24"/>
      <c r="K112" s="322">
        <f>0</f>
        <v>0</v>
      </c>
      <c r="L112" s="25"/>
    </row>
    <row r="113" spans="1:12" ht="31.2" x14ac:dyDescent="0.3">
      <c r="A113" s="341"/>
      <c r="B113" s="27"/>
      <c r="C113" s="28"/>
      <c r="D113" s="29"/>
      <c r="E113" s="248" t="s">
        <v>63</v>
      </c>
      <c r="F113" s="248"/>
      <c r="G113" s="248"/>
      <c r="H113" s="328">
        <f>ROUND(H112*0.0929,3)</f>
        <v>25.977</v>
      </c>
      <c r="I113" s="30" t="s">
        <v>64</v>
      </c>
      <c r="J113" s="24" t="s">
        <v>22</v>
      </c>
      <c r="K113" s="323">
        <f>IF(B108="9.19.1.1",IF(J113="Labour Rate",212,IF(J113="Material Rate",161,IF(J113="Through Rate",372,0))),"")</f>
        <v>212</v>
      </c>
      <c r="L113" s="319">
        <f>IF(H113*K113&lt;&gt;0,H113*K113,0)</f>
        <v>5507.1239999999998</v>
      </c>
    </row>
    <row r="114" spans="1:12" ht="13.95" customHeight="1" x14ac:dyDescent="0.3">
      <c r="A114" s="342"/>
      <c r="B114" s="105"/>
      <c r="C114" s="106"/>
      <c r="D114" s="34"/>
      <c r="E114" s="34"/>
      <c r="F114" s="35"/>
      <c r="G114" s="34"/>
      <c r="H114" s="107"/>
      <c r="I114" s="36"/>
      <c r="J114" s="8"/>
      <c r="K114" s="9"/>
      <c r="L114" s="37"/>
    </row>
    <row r="115" spans="1:12" s="273" customFormat="1" ht="106.8" x14ac:dyDescent="0.3">
      <c r="A115" s="343">
        <f>IFERROR(LOOKUP(2,1/(ISNUMBER($A$2:$A$114)),$A$2:$A$114),0)+1</f>
        <v>10</v>
      </c>
      <c r="B115" s="268" t="s">
        <v>65</v>
      </c>
      <c r="C115" s="308" t="s">
        <v>186</v>
      </c>
      <c r="D115" s="282"/>
      <c r="E115" s="283"/>
      <c r="F115" s="303"/>
      <c r="G115" s="283"/>
      <c r="H115" s="7"/>
      <c r="I115" s="285"/>
      <c r="J115" s="8"/>
      <c r="K115" s="9"/>
      <c r="L115" s="286"/>
    </row>
    <row r="116" spans="1:12" ht="15.6" x14ac:dyDescent="0.3">
      <c r="A116" s="339"/>
      <c r="B116" s="10"/>
      <c r="C116" s="11" t="s">
        <v>48</v>
      </c>
      <c r="D116" s="12">
        <v>1</v>
      </c>
      <c r="E116" s="12">
        <v>13</v>
      </c>
      <c r="F116" s="13">
        <f>10.25-1.5</f>
        <v>8.75</v>
      </c>
      <c r="G116" s="12"/>
      <c r="H116" s="246">
        <f>D116*IF(OR(E116=0,E116="-"),1,E116)*IF(OR(F116=0,F116="-"),1,F116)*IF(OR(G116=0,G116="-"),1,G116)</f>
        <v>113.75</v>
      </c>
      <c r="I116" s="14" t="s">
        <v>61</v>
      </c>
      <c r="J116" s="15"/>
      <c r="K116" s="16"/>
      <c r="L116" s="17"/>
    </row>
    <row r="117" spans="1:12" ht="15.6" x14ac:dyDescent="0.3">
      <c r="A117" s="340"/>
      <c r="B117" s="19"/>
      <c r="C117" s="20"/>
      <c r="D117" s="108"/>
      <c r="E117" s="108"/>
      <c r="F117" s="259" t="s">
        <v>62</v>
      </c>
      <c r="G117" s="259"/>
      <c r="H117" s="245">
        <f>SUM(H116:INDEX(H:H,ROW()-1))</f>
        <v>113.75</v>
      </c>
      <c r="I117" s="23" t="s">
        <v>61</v>
      </c>
      <c r="J117" s="24"/>
      <c r="K117" s="322">
        <f>0</f>
        <v>0</v>
      </c>
      <c r="L117" s="25"/>
    </row>
    <row r="118" spans="1:12" ht="31.2" x14ac:dyDescent="0.3">
      <c r="A118" s="341"/>
      <c r="B118" s="27"/>
      <c r="C118" s="28"/>
      <c r="D118" s="109"/>
      <c r="E118" s="260" t="s">
        <v>63</v>
      </c>
      <c r="F118" s="260"/>
      <c r="G118" s="260"/>
      <c r="H118" s="328">
        <f>ROUND(H117*0.0929,3)</f>
        <v>10.567</v>
      </c>
      <c r="I118" s="30" t="s">
        <v>64</v>
      </c>
      <c r="J118" s="24" t="s">
        <v>22</v>
      </c>
      <c r="K118" s="323">
        <f>IF(B115="9.11.1",IF(J118="Labour Rate",200,IF(J118="Material Rate",288,IF(J118="Through Rate",488,0))),"")</f>
        <v>200</v>
      </c>
      <c r="L118" s="319">
        <f>IF(H118*K118&lt;&gt;0,H118*K118,0)</f>
        <v>2113.4</v>
      </c>
    </row>
    <row r="119" spans="1:12" ht="13.95" customHeight="1" x14ac:dyDescent="0.3">
      <c r="A119" s="342"/>
      <c r="B119" s="32"/>
      <c r="C119" s="33"/>
      <c r="D119" s="34"/>
      <c r="E119" s="34"/>
      <c r="F119" s="35"/>
      <c r="G119" s="34"/>
      <c r="H119" s="7"/>
      <c r="I119" s="36"/>
      <c r="J119" s="8"/>
      <c r="K119" s="9"/>
      <c r="L119" s="37"/>
    </row>
    <row r="120" spans="1:12" s="273" customFormat="1" ht="79.2" x14ac:dyDescent="0.3">
      <c r="A120" s="343">
        <f>IFERROR(LOOKUP(2,1/(ISNUMBER($A$2:$A$119)),$A$2:$A$119),0)+1</f>
        <v>11</v>
      </c>
      <c r="B120" s="268" t="s">
        <v>66</v>
      </c>
      <c r="C120" s="308" t="s">
        <v>185</v>
      </c>
      <c r="D120" s="282"/>
      <c r="E120" s="283"/>
      <c r="F120" s="284"/>
      <c r="G120" s="283"/>
      <c r="H120" s="7"/>
      <c r="I120" s="285"/>
      <c r="J120" s="8"/>
      <c r="K120" s="9"/>
      <c r="L120" s="286"/>
    </row>
    <row r="121" spans="1:12" ht="15.6" x14ac:dyDescent="0.3">
      <c r="A121" s="339"/>
      <c r="B121" s="10"/>
      <c r="C121" s="110"/>
      <c r="D121" s="12">
        <v>2</v>
      </c>
      <c r="E121" s="12">
        <v>13</v>
      </c>
      <c r="F121" s="13"/>
      <c r="G121" s="12"/>
      <c r="H121" s="246">
        <f>D121*IF(OR(E121=0,E121="-"),1,E121)*IF(OR(F121=0,F121="-"),1,F121)*IF(OR(G121=0,G121="-"),1,G121)</f>
        <v>26</v>
      </c>
      <c r="I121" s="14" t="s">
        <v>31</v>
      </c>
      <c r="J121" s="15"/>
      <c r="K121" s="16"/>
      <c r="L121" s="17"/>
    </row>
    <row r="122" spans="1:12" ht="15.6" x14ac:dyDescent="0.3">
      <c r="A122" s="339"/>
      <c r="B122" s="10"/>
      <c r="C122" s="110"/>
      <c r="D122" s="12">
        <v>2</v>
      </c>
      <c r="E122" s="12">
        <f>6.75+2</f>
        <v>8.75</v>
      </c>
      <c r="F122" s="13"/>
      <c r="G122" s="12"/>
      <c r="H122" s="246">
        <f>D122*IF(OR(E122=0,E122="-"),1,E122)*IF(OR(F122=0,F122="-"),1,F122)*IF(OR(G122=0,G122="-"),1,G122)</f>
        <v>17.5</v>
      </c>
      <c r="I122" s="14" t="s">
        <v>31</v>
      </c>
      <c r="J122" s="15"/>
      <c r="K122" s="16"/>
      <c r="L122" s="17"/>
    </row>
    <row r="123" spans="1:12" ht="15.6" x14ac:dyDescent="0.3">
      <c r="A123" s="340"/>
      <c r="B123" s="19"/>
      <c r="C123" s="111"/>
      <c r="D123" s="21"/>
      <c r="E123" s="21"/>
      <c r="F123" s="251" t="s">
        <v>33</v>
      </c>
      <c r="G123" s="251"/>
      <c r="H123" s="245">
        <f>SUM(H121:INDEX(H:H,ROW()-1))</f>
        <v>43.5</v>
      </c>
      <c r="I123" s="23" t="s">
        <v>31</v>
      </c>
      <c r="J123" s="24"/>
      <c r="K123" s="322">
        <f>0</f>
        <v>0</v>
      </c>
      <c r="L123" s="25"/>
    </row>
    <row r="124" spans="1:12" ht="31.2" x14ac:dyDescent="0.3">
      <c r="A124" s="341"/>
      <c r="B124" s="112"/>
      <c r="C124" s="113"/>
      <c r="D124" s="114"/>
      <c r="E124" s="258" t="s">
        <v>34</v>
      </c>
      <c r="F124" s="258"/>
      <c r="G124" s="258"/>
      <c r="H124" s="332">
        <f>ROUND(H123*0.3048,3)</f>
        <v>13.259</v>
      </c>
      <c r="I124" s="30" t="s">
        <v>35</v>
      </c>
      <c r="J124" s="24" t="s">
        <v>22</v>
      </c>
      <c r="K124" s="324">
        <f>IF(B120="9.17.1",IF(J124="Labour Rate",76,IF(J124="Material Rate",36,IF(J124="Through Rate",112,0))),"")</f>
        <v>76</v>
      </c>
      <c r="L124" s="320">
        <f>IF(H124*K124&lt;&gt;0,H124*K124,0)</f>
        <v>1007.684</v>
      </c>
    </row>
    <row r="125" spans="1:12" ht="13.95" customHeight="1" x14ac:dyDescent="0.3">
      <c r="A125" s="342"/>
      <c r="B125" s="32"/>
      <c r="C125" s="33"/>
      <c r="D125" s="34"/>
      <c r="E125" s="34"/>
      <c r="F125" s="35"/>
      <c r="G125" s="34"/>
      <c r="H125" s="7"/>
      <c r="I125" s="36"/>
      <c r="J125" s="8"/>
      <c r="K125" s="9"/>
      <c r="L125" s="37"/>
    </row>
    <row r="126" spans="1:12" s="273" customFormat="1" ht="55.2" x14ac:dyDescent="0.3">
      <c r="A126" s="343">
        <f>IFERROR(LOOKUP(2,1/(ISNUMBER($A$2:$A$125)),$A$2:$A$125),0)+1</f>
        <v>12</v>
      </c>
      <c r="B126" s="268" t="s">
        <v>67</v>
      </c>
      <c r="C126" s="308" t="s">
        <v>184</v>
      </c>
      <c r="D126" s="282"/>
      <c r="E126" s="283"/>
      <c r="F126" s="284"/>
      <c r="G126" s="283"/>
      <c r="H126" s="7"/>
      <c r="I126" s="285"/>
      <c r="J126" s="8"/>
      <c r="K126" s="9"/>
      <c r="L126" s="286"/>
    </row>
    <row r="127" spans="1:12" ht="15.6" x14ac:dyDescent="0.3">
      <c r="A127" s="339"/>
      <c r="B127" s="10"/>
      <c r="C127" s="11"/>
      <c r="D127" s="12">
        <v>1</v>
      </c>
      <c r="E127" s="12">
        <v>5.25</v>
      </c>
      <c r="F127" s="13">
        <v>6.75</v>
      </c>
      <c r="G127" s="12">
        <v>0.5</v>
      </c>
      <c r="H127" s="246">
        <f>D127*IF(OR(E127=0,E127="-"),1,E127)*IF(OR(F127=0,F127="-"),1,F127)*IF(OR(G127=0,G127="-"),1,G127)</f>
        <v>17.71875</v>
      </c>
      <c r="I127" s="14" t="s">
        <v>14</v>
      </c>
      <c r="J127" s="15"/>
      <c r="K127" s="16"/>
      <c r="L127" s="17"/>
    </row>
    <row r="128" spans="1:12" ht="15.6" x14ac:dyDescent="0.3">
      <c r="A128" s="339"/>
      <c r="B128" s="10"/>
      <c r="C128" s="11"/>
      <c r="D128" s="12">
        <v>1</v>
      </c>
      <c r="E128" s="12">
        <v>7</v>
      </c>
      <c r="F128" s="13">
        <v>6.75</v>
      </c>
      <c r="G128" s="12">
        <v>0.5</v>
      </c>
      <c r="H128" s="246">
        <f>D128*IF(OR(E128=0,E128="-"),1,E128)*IF(OR(F128=0,F128="-"),1,F128)*IF(OR(G128=0,G128="-"),1,G128)</f>
        <v>23.625</v>
      </c>
      <c r="I128" s="14" t="s">
        <v>14</v>
      </c>
      <c r="J128" s="15"/>
      <c r="K128" s="16"/>
      <c r="L128" s="17"/>
    </row>
    <row r="129" spans="1:12" ht="15.6" x14ac:dyDescent="0.3">
      <c r="A129" s="340"/>
      <c r="B129" s="19"/>
      <c r="C129" s="20"/>
      <c r="D129" s="21"/>
      <c r="E129" s="21"/>
      <c r="F129" s="251" t="s">
        <v>17</v>
      </c>
      <c r="G129" s="251"/>
      <c r="H129" s="245">
        <f>SUM(H127:INDEX(H:H,ROW()-1))</f>
        <v>41.34375</v>
      </c>
      <c r="I129" s="23" t="s">
        <v>14</v>
      </c>
      <c r="J129" s="24"/>
      <c r="K129" s="322">
        <f>0</f>
        <v>0</v>
      </c>
      <c r="L129" s="25"/>
    </row>
    <row r="130" spans="1:12" ht="31.2" x14ac:dyDescent="0.3">
      <c r="A130" s="341"/>
      <c r="B130" s="27"/>
      <c r="C130" s="28"/>
      <c r="D130" s="29"/>
      <c r="E130" s="248" t="s">
        <v>18</v>
      </c>
      <c r="F130" s="248"/>
      <c r="G130" s="248"/>
      <c r="H130" s="328">
        <f>ROUND(H129*0.0283,3)</f>
        <v>1.17</v>
      </c>
      <c r="I130" s="30" t="s">
        <v>19</v>
      </c>
      <c r="J130" s="24" t="s">
        <v>22</v>
      </c>
      <c r="K130" s="323">
        <f>IF(B126="10.2",IF(J130="Labour Rate",73,IF(J130="Material Rate",753,IF(J130="Through Rate",826,0))),"")</f>
        <v>73</v>
      </c>
      <c r="L130" s="319">
        <f>IF(H130*K130&lt;&gt;0,H130*K130,0)</f>
        <v>85.41</v>
      </c>
    </row>
    <row r="131" spans="1:12" ht="13.95" customHeight="1" x14ac:dyDescent="0.3">
      <c r="A131" s="342"/>
      <c r="B131" s="105"/>
      <c r="C131" s="106"/>
      <c r="D131" s="34"/>
      <c r="E131" s="34"/>
      <c r="F131" s="35"/>
      <c r="G131" s="34"/>
      <c r="H131" s="7"/>
      <c r="I131" s="36"/>
      <c r="J131" s="8"/>
      <c r="K131" s="9"/>
      <c r="L131" s="37"/>
    </row>
    <row r="132" spans="1:12" s="273" customFormat="1" ht="55.2" x14ac:dyDescent="0.3">
      <c r="A132" s="343">
        <f>IFERROR(LOOKUP(2,1/(ISNUMBER($A$2:$A$131)),$A$2:$A$131),0)+1</f>
        <v>13</v>
      </c>
      <c r="B132" s="275" t="s">
        <v>68</v>
      </c>
      <c r="C132" s="308" t="s">
        <v>183</v>
      </c>
      <c r="D132" s="282"/>
      <c r="E132" s="283"/>
      <c r="F132" s="284"/>
      <c r="G132" s="283"/>
      <c r="H132" s="7"/>
      <c r="I132" s="285"/>
      <c r="J132" s="8"/>
      <c r="K132" s="9"/>
      <c r="L132" s="286"/>
    </row>
    <row r="133" spans="1:12" ht="15.6" x14ac:dyDescent="0.3">
      <c r="A133" s="339"/>
      <c r="B133" s="10"/>
      <c r="C133" s="11" t="s">
        <v>48</v>
      </c>
      <c r="D133" s="12">
        <v>1</v>
      </c>
      <c r="E133" s="12">
        <v>5.25</v>
      </c>
      <c r="F133" s="13">
        <v>6.75</v>
      </c>
      <c r="G133" s="12"/>
      <c r="H133" s="246">
        <f>D133*IF(OR(E133=0,E133="-"),1,E133)*IF(OR(F133=0,F133="-"),1,F133)*IF(OR(G133=0,G133="-"),1,G133)</f>
        <v>35.4375</v>
      </c>
      <c r="I133" s="14" t="s">
        <v>61</v>
      </c>
      <c r="J133" s="15"/>
      <c r="K133" s="16"/>
      <c r="L133" s="17"/>
    </row>
    <row r="134" spans="1:12" ht="15.6" x14ac:dyDescent="0.3">
      <c r="A134" s="339"/>
      <c r="B134" s="10"/>
      <c r="C134" s="11"/>
      <c r="D134" s="12">
        <v>1</v>
      </c>
      <c r="E134" s="12">
        <v>7</v>
      </c>
      <c r="F134" s="13">
        <v>6.75</v>
      </c>
      <c r="G134" s="12"/>
      <c r="H134" s="246">
        <f>D134*IF(OR(E134=0,E134="-"),1,E134)*IF(OR(F134=0,F134="-"),1,F134)*IF(OR(G134=0,G134="-"),1,G134)</f>
        <v>47.25</v>
      </c>
      <c r="I134" s="14" t="s">
        <v>61</v>
      </c>
      <c r="J134" s="15"/>
      <c r="K134" s="16"/>
      <c r="L134" s="17"/>
    </row>
    <row r="135" spans="1:12" ht="15.6" x14ac:dyDescent="0.3">
      <c r="A135" s="339"/>
      <c r="B135" s="10"/>
      <c r="C135" s="11" t="s">
        <v>16</v>
      </c>
      <c r="D135" s="12">
        <v>1</v>
      </c>
      <c r="E135" s="12">
        <f>14-0.75</f>
        <v>13.25</v>
      </c>
      <c r="F135" s="13">
        <f>3.5-0.75</f>
        <v>2.75</v>
      </c>
      <c r="G135" s="12"/>
      <c r="H135" s="246">
        <f>D135*IF(OR(E135=0,E135="-"),1,E135)*IF(OR(F135=0,F135="-"),1,F135)*IF(OR(G135=0,G135="-"),1,G135)</f>
        <v>36.4375</v>
      </c>
      <c r="I135" s="14" t="s">
        <v>61</v>
      </c>
      <c r="J135" s="15"/>
      <c r="K135" s="16"/>
      <c r="L135" s="17"/>
    </row>
    <row r="136" spans="1:12" ht="15.6" x14ac:dyDescent="0.3">
      <c r="A136" s="339"/>
      <c r="B136" s="10"/>
      <c r="C136" s="11"/>
      <c r="D136" s="12">
        <v>1</v>
      </c>
      <c r="E136" s="12">
        <v>9.25</v>
      </c>
      <c r="F136" s="13">
        <v>2</v>
      </c>
      <c r="G136" s="12"/>
      <c r="H136" s="246">
        <f>D136*IF(OR(E136=0,E136="-"),1,E136)*IF(OR(F136=0,F136="-"),1,F136)*IF(OR(G136=0,G136="-"),1,G136)</f>
        <v>18.5</v>
      </c>
      <c r="I136" s="14" t="s">
        <v>61</v>
      </c>
      <c r="J136" s="15"/>
      <c r="K136" s="16"/>
      <c r="L136" s="17"/>
    </row>
    <row r="137" spans="1:12" ht="15.6" x14ac:dyDescent="0.3">
      <c r="A137" s="340"/>
      <c r="B137" s="40"/>
      <c r="C137" s="52"/>
      <c r="D137" s="21"/>
      <c r="E137" s="21"/>
      <c r="F137" s="251" t="s">
        <v>62</v>
      </c>
      <c r="G137" s="251"/>
      <c r="H137" s="245">
        <f>SUM(H133:INDEX(H:H,ROW()-1))</f>
        <v>137.625</v>
      </c>
      <c r="I137" s="23" t="s">
        <v>61</v>
      </c>
      <c r="J137" s="24"/>
      <c r="K137" s="322">
        <f>0</f>
        <v>0</v>
      </c>
      <c r="L137" s="25"/>
    </row>
    <row r="138" spans="1:12" ht="31.2" x14ac:dyDescent="0.3">
      <c r="A138" s="341"/>
      <c r="B138" s="42"/>
      <c r="C138" s="53"/>
      <c r="D138" s="29"/>
      <c r="E138" s="248" t="s">
        <v>63</v>
      </c>
      <c r="F138" s="248"/>
      <c r="G138" s="248"/>
      <c r="H138" s="328">
        <f>ROUND(H137*0.0929,3)</f>
        <v>12.785</v>
      </c>
      <c r="I138" s="30" t="s">
        <v>64</v>
      </c>
      <c r="J138" s="24" t="s">
        <v>22</v>
      </c>
      <c r="K138" s="323">
        <f>IF(B132="10.1",IF(J138="Labour Rate",66,IF(J138="Material Rate",194,IF(J138="Through Rate",260,0))),"")</f>
        <v>66</v>
      </c>
      <c r="L138" s="319">
        <f>IF(H138*K138&lt;&gt;0,H138*K138,0)</f>
        <v>843.81000000000006</v>
      </c>
    </row>
    <row r="139" spans="1:12" ht="13.95" customHeight="1" x14ac:dyDescent="0.3">
      <c r="A139" s="342"/>
      <c r="B139" s="32"/>
      <c r="C139" s="33"/>
      <c r="D139" s="34"/>
      <c r="E139" s="34"/>
      <c r="F139" s="35"/>
      <c r="G139" s="34"/>
      <c r="H139" s="7"/>
      <c r="I139" s="36"/>
      <c r="J139" s="8"/>
      <c r="K139" s="9"/>
      <c r="L139" s="37"/>
    </row>
    <row r="140" spans="1:12" s="273" customFormat="1" ht="79.2" x14ac:dyDescent="0.3">
      <c r="A140" s="343">
        <f>IFERROR(LOOKUP(2,1/(ISNUMBER($A$2:$A$139)),$A$2:$A$139),0)+1</f>
        <v>14</v>
      </c>
      <c r="B140" s="268" t="s">
        <v>69</v>
      </c>
      <c r="C140" s="309" t="s">
        <v>182</v>
      </c>
      <c r="D140" s="278"/>
      <c r="E140" s="279"/>
      <c r="F140" s="279"/>
      <c r="G140" s="279"/>
      <c r="H140" s="117"/>
      <c r="I140" s="280"/>
      <c r="J140" s="118"/>
      <c r="K140" s="119"/>
      <c r="L140" s="281"/>
    </row>
    <row r="141" spans="1:12" ht="15.6" x14ac:dyDescent="0.3">
      <c r="A141" s="339"/>
      <c r="B141" s="120"/>
      <c r="C141" s="95"/>
      <c r="D141" s="96">
        <v>28</v>
      </c>
      <c r="E141" s="95">
        <v>65</v>
      </c>
      <c r="F141" s="95"/>
      <c r="G141" s="95"/>
      <c r="H141" s="331">
        <f>D141*IF(OR(E141=0,E141="-"),1,E141)*IF(OR(F141=0,F141="-"),1,F141)*IF(OR(G141=0,G141="-"),1,G141)</f>
        <v>1820</v>
      </c>
      <c r="I141" s="97" t="s">
        <v>44</v>
      </c>
      <c r="J141" s="121"/>
      <c r="K141" s="122"/>
      <c r="L141" s="123"/>
    </row>
    <row r="142" spans="1:12" ht="15.6" x14ac:dyDescent="0.3">
      <c r="A142" s="339"/>
      <c r="B142" s="120"/>
      <c r="C142" s="95"/>
      <c r="D142" s="96">
        <v>1</v>
      </c>
      <c r="E142" s="95">
        <v>50</v>
      </c>
      <c r="F142" s="95"/>
      <c r="G142" s="95"/>
      <c r="H142" s="331">
        <f>D142*IF(OR(E142=0,E142="-"),1,E142)*IF(OR(F142=0,F142="-"),1,F142)*IF(OR(G142=0,G142="-"),1,G142)</f>
        <v>50</v>
      </c>
      <c r="I142" s="97" t="s">
        <v>44</v>
      </c>
      <c r="J142" s="121"/>
      <c r="K142" s="122"/>
      <c r="L142" s="123"/>
    </row>
    <row r="143" spans="1:12" ht="15.6" x14ac:dyDescent="0.3">
      <c r="A143" s="339"/>
      <c r="B143" s="120"/>
      <c r="C143" s="95"/>
      <c r="D143" s="96">
        <v>1</v>
      </c>
      <c r="E143" s="95">
        <v>33</v>
      </c>
      <c r="F143" s="95"/>
      <c r="G143" s="95"/>
      <c r="H143" s="331">
        <f>D143*IF(OR(E143=0,E143="-"),1,E143)*IF(OR(F143=0,F143="-"),1,F143)*IF(OR(G143=0,G143="-"),1,G143)</f>
        <v>33</v>
      </c>
      <c r="I143" s="97" t="s">
        <v>44</v>
      </c>
      <c r="J143" s="121"/>
      <c r="K143" s="122"/>
      <c r="L143" s="123"/>
    </row>
    <row r="144" spans="1:12" ht="15.6" x14ac:dyDescent="0.3">
      <c r="A144" s="340"/>
      <c r="B144" s="124"/>
      <c r="C144" s="125"/>
      <c r="D144" s="124"/>
      <c r="E144" s="125"/>
      <c r="F144" s="253" t="s">
        <v>70</v>
      </c>
      <c r="G144" s="253"/>
      <c r="H144" s="333">
        <f>SUM(H141:INDEX(H:H,ROW()-1))</f>
        <v>1903</v>
      </c>
      <c r="I144" s="126" t="s">
        <v>44</v>
      </c>
      <c r="J144" s="104"/>
      <c r="K144" s="325">
        <f>0</f>
        <v>0</v>
      </c>
      <c r="L144" s="127"/>
    </row>
    <row r="145" spans="1:12" ht="28.8" x14ac:dyDescent="0.3">
      <c r="A145" s="341"/>
      <c r="B145" s="100"/>
      <c r="C145" s="101"/>
      <c r="D145" s="100"/>
      <c r="E145" s="254" t="s">
        <v>70</v>
      </c>
      <c r="F145" s="254"/>
      <c r="G145" s="254"/>
      <c r="H145" s="333">
        <f>ROUND(H144*1,3)</f>
        <v>1903</v>
      </c>
      <c r="I145" s="103" t="s">
        <v>44</v>
      </c>
      <c r="J145" s="104" t="s">
        <v>22</v>
      </c>
      <c r="K145" s="326">
        <f>IF(B140="12.50.2",IF(J145="Labour Rate",41,IF(J145="Material Rate",64,IF(J145="Through Rate",105,0))),"")</f>
        <v>41</v>
      </c>
      <c r="L145" s="321">
        <f>IF(H145*K145&lt;&gt;0,H145*K145,0)</f>
        <v>78023</v>
      </c>
    </row>
    <row r="146" spans="1:12" ht="13.95" customHeight="1" x14ac:dyDescent="0.3">
      <c r="A146" s="342"/>
      <c r="B146" s="32"/>
      <c r="C146" s="33"/>
      <c r="D146" s="34"/>
      <c r="E146" s="34"/>
      <c r="F146" s="35"/>
      <c r="G146" s="34"/>
      <c r="H146" s="7"/>
      <c r="I146" s="36"/>
      <c r="J146" s="8"/>
      <c r="K146" s="9"/>
      <c r="L146" s="37"/>
    </row>
    <row r="147" spans="1:12" s="273" customFormat="1" ht="138" x14ac:dyDescent="0.3">
      <c r="A147" s="343">
        <f>IFERROR(LOOKUP(2,1/(ISNUMBER($A$2:$A$146)),$A$2:$A$146),0)+1</f>
        <v>15</v>
      </c>
      <c r="B147" s="301" t="s">
        <v>71</v>
      </c>
      <c r="C147" s="310" t="s">
        <v>181</v>
      </c>
      <c r="D147" s="302"/>
      <c r="E147" s="279"/>
      <c r="F147" s="279"/>
      <c r="G147" s="279"/>
      <c r="H147" s="117"/>
      <c r="I147" s="280"/>
      <c r="J147" s="8"/>
      <c r="K147" s="9"/>
      <c r="L147" s="286"/>
    </row>
    <row r="148" spans="1:12" ht="15.6" x14ac:dyDescent="0.3">
      <c r="A148" s="339"/>
      <c r="B148" s="128"/>
      <c r="C148" s="129"/>
      <c r="D148" s="128">
        <v>1</v>
      </c>
      <c r="E148" s="95">
        <f>226+45</f>
        <v>271</v>
      </c>
      <c r="F148" s="95"/>
      <c r="G148" s="95"/>
      <c r="H148" s="331">
        <f>D148*IF(OR(E148=0,E148="-"),1,E148)*IF(OR(F148=0,F148="-"),1,F148)*IF(OR(G148=0,G148="-"),1,G148)</f>
        <v>271</v>
      </c>
      <c r="I148" s="97" t="s">
        <v>44</v>
      </c>
      <c r="J148" s="15"/>
      <c r="K148" s="16"/>
      <c r="L148" s="17"/>
    </row>
    <row r="149" spans="1:12" ht="15.6" x14ac:dyDescent="0.3">
      <c r="A149" s="339"/>
      <c r="B149" s="128"/>
      <c r="C149" s="129"/>
      <c r="D149" s="128">
        <v>1</v>
      </c>
      <c r="E149" s="95">
        <f>247+25</f>
        <v>272</v>
      </c>
      <c r="F149" s="95"/>
      <c r="G149" s="95"/>
      <c r="H149" s="331">
        <f>D149*IF(OR(E149=0,E149="-"),1,E149)*IF(OR(F149=0,F149="-"),1,F149)*IF(OR(G149=0,G149="-"),1,G149)</f>
        <v>272</v>
      </c>
      <c r="I149" s="97" t="s">
        <v>44</v>
      </c>
      <c r="J149" s="15"/>
      <c r="K149" s="16"/>
      <c r="L149" s="17"/>
    </row>
    <row r="150" spans="1:12" ht="15.6" x14ac:dyDescent="0.3">
      <c r="A150" s="340"/>
      <c r="B150" s="40"/>
      <c r="C150" s="52"/>
      <c r="D150" s="21"/>
      <c r="E150" s="21"/>
      <c r="F150" s="251" t="s">
        <v>70</v>
      </c>
      <c r="G150" s="251"/>
      <c r="H150" s="245">
        <f>SUM(H148:INDEX(H:H,ROW()-1))</f>
        <v>543</v>
      </c>
      <c r="I150" s="23" t="s">
        <v>44</v>
      </c>
      <c r="J150" s="24"/>
      <c r="K150" s="322">
        <f>0</f>
        <v>0</v>
      </c>
      <c r="L150" s="25"/>
    </row>
    <row r="151" spans="1:12" ht="31.2" x14ac:dyDescent="0.3">
      <c r="A151" s="341"/>
      <c r="B151" s="42"/>
      <c r="C151" s="53"/>
      <c r="D151" s="29"/>
      <c r="E151" s="248" t="s">
        <v>70</v>
      </c>
      <c r="F151" s="248"/>
      <c r="G151" s="248"/>
      <c r="H151" s="328">
        <f>ROUND(H150*1,3)</f>
        <v>543</v>
      </c>
      <c r="I151" s="30" t="s">
        <v>44</v>
      </c>
      <c r="J151" s="24" t="s">
        <v>22</v>
      </c>
      <c r="K151" s="323">
        <f>IF(B147="13.41",IF(J151="Labour Rate",61,IF(J151="Material Rate",335,IF(J151="Through Rate",396,0))),"")</f>
        <v>61</v>
      </c>
      <c r="L151" s="319">
        <f>IF(H151*K151&lt;&gt;0,H151*K151,0)</f>
        <v>33123</v>
      </c>
    </row>
    <row r="152" spans="1:12" ht="13.95" customHeight="1" x14ac:dyDescent="0.3">
      <c r="A152" s="342"/>
      <c r="B152" s="32"/>
      <c r="C152" s="33"/>
      <c r="D152" s="34"/>
      <c r="E152" s="34"/>
      <c r="F152" s="35"/>
      <c r="G152" s="34"/>
      <c r="H152" s="7"/>
      <c r="I152" s="36"/>
      <c r="J152" s="8"/>
      <c r="K152" s="9"/>
      <c r="L152" s="37"/>
    </row>
    <row r="153" spans="1:12" s="273" customFormat="1" ht="51.6" x14ac:dyDescent="0.3">
      <c r="A153" s="343">
        <f>IFERROR(LOOKUP(2,1/(ISNUMBER($A$2:$A$152)),$A$2:$A$152),0)+1</f>
        <v>16</v>
      </c>
      <c r="B153" s="268" t="s">
        <v>72</v>
      </c>
      <c r="C153" s="308" t="s">
        <v>180</v>
      </c>
      <c r="D153" s="282"/>
      <c r="E153" s="283"/>
      <c r="F153" s="284"/>
      <c r="G153" s="283"/>
      <c r="H153" s="7"/>
      <c r="I153" s="285"/>
      <c r="J153" s="8"/>
      <c r="K153" s="9"/>
      <c r="L153" s="286"/>
    </row>
    <row r="154" spans="1:12" ht="15.6" x14ac:dyDescent="0.3">
      <c r="A154" s="339"/>
      <c r="B154" s="10"/>
      <c r="C154" s="11" t="s">
        <v>73</v>
      </c>
      <c r="D154" s="12"/>
      <c r="E154" s="12"/>
      <c r="F154" s="13"/>
      <c r="G154" s="12"/>
      <c r="H154" s="99"/>
      <c r="I154" s="14"/>
      <c r="J154" s="15"/>
      <c r="K154" s="16"/>
      <c r="L154" s="17"/>
    </row>
    <row r="155" spans="1:12" ht="15.6" x14ac:dyDescent="0.3">
      <c r="A155" s="339"/>
      <c r="B155" s="10"/>
      <c r="C155" s="11"/>
      <c r="D155" s="12">
        <v>2</v>
      </c>
      <c r="E155" s="12">
        <v>14.5</v>
      </c>
      <c r="F155" s="13" t="s">
        <v>74</v>
      </c>
      <c r="G155" s="12">
        <v>9.5</v>
      </c>
      <c r="H155" s="246">
        <f>D155*IF(OR(E155=0,E155="-"),1,E155)*IF(OR(F155=0,F155="-"),1,F155)*IF(OR(G155=0,G155="-"),1,G155)</f>
        <v>275.5</v>
      </c>
      <c r="I155" s="14" t="s">
        <v>61</v>
      </c>
      <c r="J155" s="15"/>
      <c r="K155" s="16"/>
      <c r="L155" s="17"/>
    </row>
    <row r="156" spans="1:12" ht="15.6" x14ac:dyDescent="0.3">
      <c r="A156" s="339"/>
      <c r="B156" s="10"/>
      <c r="C156" s="11"/>
      <c r="D156" s="12">
        <v>2</v>
      </c>
      <c r="E156" s="12">
        <f>6.75+1.5</f>
        <v>8.25</v>
      </c>
      <c r="F156" s="13" t="s">
        <v>74</v>
      </c>
      <c r="G156" s="12">
        <v>9.5</v>
      </c>
      <c r="H156" s="246">
        <f>D156*IF(OR(E156=0,E156="-"),1,E156)*IF(OR(F156=0,F156="-"),1,F156)*IF(OR(G156=0,G156="-"),1,G156)</f>
        <v>156.75</v>
      </c>
      <c r="I156" s="14" t="s">
        <v>61</v>
      </c>
      <c r="J156" s="15"/>
      <c r="K156" s="16"/>
      <c r="L156" s="17"/>
    </row>
    <row r="157" spans="1:12" ht="15.6" x14ac:dyDescent="0.3">
      <c r="A157" s="339"/>
      <c r="B157" s="10"/>
      <c r="C157" s="95" t="s">
        <v>50</v>
      </c>
      <c r="D157" s="96">
        <v>1</v>
      </c>
      <c r="E157" s="95">
        <f>142.833-14.5</f>
        <v>128.333</v>
      </c>
      <c r="F157" s="95">
        <v>7.25</v>
      </c>
      <c r="G157" s="95"/>
      <c r="H157" s="331">
        <f>D157*IF(OR(E157=0,E157="-"),1,E157)*IF(OR(F157=0,F157="-"),1,F157)*IF(OR(G157=0,G157="-"),1,G157)</f>
        <v>930.41425000000004</v>
      </c>
      <c r="I157" s="97" t="s">
        <v>61</v>
      </c>
      <c r="J157" s="15"/>
      <c r="K157" s="16"/>
      <c r="L157" s="17"/>
    </row>
    <row r="158" spans="1:12" ht="15.6" x14ac:dyDescent="0.3">
      <c r="A158" s="339"/>
      <c r="B158" s="10"/>
      <c r="C158" s="95" t="s">
        <v>75</v>
      </c>
      <c r="D158" s="96">
        <v>1</v>
      </c>
      <c r="E158" s="95">
        <f>57.583+2-6.75-1.5</f>
        <v>51.332999999999998</v>
      </c>
      <c r="F158" s="95">
        <v>5.25</v>
      </c>
      <c r="G158" s="95"/>
      <c r="H158" s="331">
        <f>D158*IF(OR(E158=0,E158="-"),1,E158)*IF(OR(F158=0,F158="-"),1,F158)*IF(OR(G158=0,G158="-"),1,G158)</f>
        <v>269.49824999999998</v>
      </c>
      <c r="I158" s="97" t="s">
        <v>61</v>
      </c>
      <c r="J158" s="15"/>
      <c r="K158" s="16"/>
      <c r="L158" s="17"/>
    </row>
    <row r="159" spans="1:12" ht="15.6" x14ac:dyDescent="0.3">
      <c r="A159" s="339"/>
      <c r="B159" s="10"/>
      <c r="C159" s="95" t="s">
        <v>16</v>
      </c>
      <c r="D159" s="96">
        <v>0.5</v>
      </c>
      <c r="E159" s="95">
        <v>14</v>
      </c>
      <c r="F159" s="95">
        <v>9.5</v>
      </c>
      <c r="G159" s="95"/>
      <c r="H159" s="331">
        <f>D159*IF(OR(E159=0,E159="-"),1,E159)*IF(OR(F159=0,F159="-"),1,F159)*IF(OR(G159=0,G159="-"),1,G159)</f>
        <v>66.5</v>
      </c>
      <c r="I159" s="97" t="s">
        <v>61</v>
      </c>
      <c r="J159" s="15"/>
      <c r="K159" s="16"/>
      <c r="L159" s="17"/>
    </row>
    <row r="160" spans="1:12" ht="15.6" x14ac:dyDescent="0.3">
      <c r="A160" s="339"/>
      <c r="B160" s="10"/>
      <c r="C160" s="95"/>
      <c r="D160" s="96">
        <v>1</v>
      </c>
      <c r="E160" s="95">
        <f>3.5-0.75</f>
        <v>2.75</v>
      </c>
      <c r="F160" s="95">
        <v>9.5</v>
      </c>
      <c r="G160" s="95"/>
      <c r="H160" s="331">
        <f>D160*IF(OR(E160=0,E160="-"),1,E160)*IF(OR(F160=0,F160="-"),1,F160)*IF(OR(G160=0,G160="-"),1,G160)</f>
        <v>26.125</v>
      </c>
      <c r="I160" s="97" t="s">
        <v>61</v>
      </c>
      <c r="J160" s="15"/>
      <c r="K160" s="16"/>
      <c r="L160" s="17"/>
    </row>
    <row r="161" spans="1:12" ht="15.6" x14ac:dyDescent="0.3">
      <c r="A161" s="340"/>
      <c r="B161" s="19"/>
      <c r="C161" s="20"/>
      <c r="D161" s="21"/>
      <c r="E161" s="21"/>
      <c r="F161" s="251" t="s">
        <v>62</v>
      </c>
      <c r="G161" s="251"/>
      <c r="H161" s="328">
        <f>SUM(H155:INDEX(H:H,ROW()-1))</f>
        <v>1724.7874999999999</v>
      </c>
      <c r="I161" s="23" t="s">
        <v>61</v>
      </c>
      <c r="J161" s="24"/>
      <c r="K161" s="322">
        <f>0</f>
        <v>0</v>
      </c>
      <c r="L161" s="25"/>
    </row>
    <row r="162" spans="1:12" ht="46.8" x14ac:dyDescent="0.3">
      <c r="A162" s="341"/>
      <c r="B162" s="27"/>
      <c r="C162" s="28"/>
      <c r="D162" s="29"/>
      <c r="E162" s="248" t="s">
        <v>63</v>
      </c>
      <c r="F162" s="248"/>
      <c r="G162" s="248"/>
      <c r="H162" s="328">
        <f>ROUND(H161*0.0929,3)</f>
        <v>160.233</v>
      </c>
      <c r="I162" s="30" t="s">
        <v>64</v>
      </c>
      <c r="J162" s="24" t="s">
        <v>27</v>
      </c>
      <c r="K162" s="323">
        <f>IF(B153="11.5.4",IF(J162="Labour Rate Amnd",71,IF(J162="Material Rate Amnd",33,IF(J162="Through Rate Amnd",104,IF(J162="Labour Rate",35,IF(J162="Material Rate",33,IF(J162="Through Rate",68,0)))))),"")</f>
        <v>71</v>
      </c>
      <c r="L162" s="319">
        <f>IF(H162*K162&lt;&gt;0,H162*K162,0)</f>
        <v>11376.543</v>
      </c>
    </row>
    <row r="163" spans="1:12" ht="13.95" customHeight="1" x14ac:dyDescent="0.3">
      <c r="A163" s="342"/>
      <c r="B163" s="32"/>
      <c r="C163" s="33"/>
      <c r="D163" s="34"/>
      <c r="E163" s="34"/>
      <c r="F163" s="35"/>
      <c r="G163" s="34"/>
      <c r="H163" s="7"/>
      <c r="I163" s="36"/>
      <c r="J163" s="8"/>
      <c r="K163" s="9"/>
      <c r="L163" s="37"/>
    </row>
    <row r="164" spans="1:12" s="273" customFormat="1" ht="51.6" x14ac:dyDescent="0.3">
      <c r="A164" s="343">
        <f>IFERROR(LOOKUP(2,1/(ISNUMBER($A$2:$A$163)),$A$2:$A$163),0)+1</f>
        <v>17</v>
      </c>
      <c r="B164" s="275" t="s">
        <v>76</v>
      </c>
      <c r="C164" s="308" t="s">
        <v>179</v>
      </c>
      <c r="D164" s="282"/>
      <c r="E164" s="283"/>
      <c r="F164" s="284"/>
      <c r="G164" s="283"/>
      <c r="H164" s="7"/>
      <c r="I164" s="285"/>
      <c r="J164" s="8"/>
      <c r="K164" s="9"/>
      <c r="L164" s="286"/>
    </row>
    <row r="165" spans="1:12" ht="15.6" x14ac:dyDescent="0.3">
      <c r="A165" s="339"/>
      <c r="B165" s="10"/>
      <c r="C165" s="11" t="s">
        <v>77</v>
      </c>
      <c r="D165" s="12">
        <v>2</v>
      </c>
      <c r="E165" s="12">
        <v>5.25</v>
      </c>
      <c r="F165" s="13" t="s">
        <v>74</v>
      </c>
      <c r="G165" s="12">
        <v>9</v>
      </c>
      <c r="H165" s="246">
        <f>D165*IF(OR(E165=0,E165="-"),1,E165)*IF(OR(F165=0,F165="-"),1,F165)*IF(OR(G165=0,G165="-"),1,G165)</f>
        <v>94.5</v>
      </c>
      <c r="I165" s="14" t="s">
        <v>61</v>
      </c>
      <c r="J165" s="15"/>
      <c r="K165" s="16"/>
      <c r="L165" s="17"/>
    </row>
    <row r="166" spans="1:12" ht="15.6" x14ac:dyDescent="0.3">
      <c r="A166" s="339"/>
      <c r="B166" s="10"/>
      <c r="C166" s="11"/>
      <c r="D166" s="12">
        <v>4</v>
      </c>
      <c r="E166" s="12">
        <v>6.75</v>
      </c>
      <c r="F166" s="13" t="s">
        <v>74</v>
      </c>
      <c r="G166" s="12">
        <v>9</v>
      </c>
      <c r="H166" s="246">
        <f>D166*IF(OR(E166=0,E166="-"),1,E166)*IF(OR(F166=0,F166="-"),1,F166)*IF(OR(G166=0,G166="-"),1,G166)</f>
        <v>243</v>
      </c>
      <c r="I166" s="14" t="s">
        <v>61</v>
      </c>
      <c r="J166" s="15"/>
      <c r="K166" s="16"/>
      <c r="L166" s="17"/>
    </row>
    <row r="167" spans="1:12" ht="15.6" x14ac:dyDescent="0.3">
      <c r="A167" s="339"/>
      <c r="B167" s="10"/>
      <c r="C167" s="11"/>
      <c r="D167" s="12">
        <v>2</v>
      </c>
      <c r="E167" s="12">
        <v>7</v>
      </c>
      <c r="F167" s="13" t="s">
        <v>74</v>
      </c>
      <c r="G167" s="12">
        <v>9</v>
      </c>
      <c r="H167" s="246">
        <f>D167*IF(OR(E167=0,E167="-"),1,E167)*IF(OR(F167=0,F167="-"),1,F167)*IF(OR(G167=0,G167="-"),1,G167)</f>
        <v>126</v>
      </c>
      <c r="I167" s="14" t="s">
        <v>61</v>
      </c>
      <c r="J167" s="15"/>
      <c r="K167" s="16"/>
      <c r="L167" s="17"/>
    </row>
    <row r="168" spans="1:12" ht="15.6" x14ac:dyDescent="0.3">
      <c r="A168" s="339"/>
      <c r="B168" s="10"/>
      <c r="C168" s="11"/>
      <c r="D168" s="12">
        <v>-2</v>
      </c>
      <c r="E168" s="12">
        <v>2.5</v>
      </c>
      <c r="F168" s="13" t="s">
        <v>74</v>
      </c>
      <c r="G168" s="12">
        <v>7</v>
      </c>
      <c r="H168" s="246">
        <f>D168*IF(OR(E168=0,E168="-"),1,E168)*IF(OR(F168=0,F168="-"),1,F168)*IF(OR(G168=0,G168="-"),1,G168)</f>
        <v>-35</v>
      </c>
      <c r="I168" s="14" t="s">
        <v>61</v>
      </c>
      <c r="J168" s="15"/>
      <c r="K168" s="16"/>
      <c r="L168" s="17"/>
    </row>
    <row r="169" spans="1:12" ht="15.6" x14ac:dyDescent="0.3">
      <c r="A169" s="339"/>
      <c r="B169" s="10"/>
      <c r="C169" s="11" t="s">
        <v>13</v>
      </c>
      <c r="D169" s="12">
        <v>2</v>
      </c>
      <c r="E169" s="12">
        <v>10</v>
      </c>
      <c r="F169" s="13"/>
      <c r="G169" s="12">
        <v>7</v>
      </c>
      <c r="H169" s="246">
        <f>D169*IF(OR(E169=0,E169="-"),1,E169)*IF(OR(F169=0,F169="-"),1,F169)*IF(OR(G169=0,G169="-"),1,G169)</f>
        <v>140</v>
      </c>
      <c r="I169" s="14" t="s">
        <v>61</v>
      </c>
      <c r="J169" s="15"/>
      <c r="K169" s="16"/>
      <c r="L169" s="17"/>
    </row>
    <row r="170" spans="1:12" ht="15.6" x14ac:dyDescent="0.3">
      <c r="A170" s="339"/>
      <c r="B170" s="10"/>
      <c r="C170" s="11"/>
      <c r="D170" s="12">
        <v>2</v>
      </c>
      <c r="E170" s="12">
        <v>5</v>
      </c>
      <c r="F170" s="13"/>
      <c r="G170" s="12">
        <v>7</v>
      </c>
      <c r="H170" s="246">
        <f>D170*IF(OR(E170=0,E170="-"),1,E170)*IF(OR(F170=0,F170="-"),1,F170)*IF(OR(G170=0,G170="-"),1,G170)</f>
        <v>70</v>
      </c>
      <c r="I170" s="14" t="s">
        <v>61</v>
      </c>
      <c r="J170" s="15"/>
      <c r="K170" s="16"/>
      <c r="L170" s="17"/>
    </row>
    <row r="171" spans="1:12" ht="15.6" x14ac:dyDescent="0.3">
      <c r="A171" s="339"/>
      <c r="B171" s="10"/>
      <c r="C171" s="11" t="s">
        <v>24</v>
      </c>
      <c r="D171" s="12">
        <v>4</v>
      </c>
      <c r="E171" s="12">
        <v>6</v>
      </c>
      <c r="F171" s="13"/>
      <c r="G171" s="12">
        <v>7</v>
      </c>
      <c r="H171" s="246">
        <f>D171*IF(OR(E171=0,E171="-"),1,E171)*IF(OR(F171=0,F171="-"),1,F171)*IF(OR(G171=0,G171="-"),1,G171)</f>
        <v>168</v>
      </c>
      <c r="I171" s="14" t="s">
        <v>61</v>
      </c>
      <c r="J171" s="15"/>
      <c r="K171" s="16"/>
      <c r="L171" s="17"/>
    </row>
    <row r="172" spans="1:12" ht="15.6" x14ac:dyDescent="0.3">
      <c r="A172" s="339"/>
      <c r="B172" s="6"/>
      <c r="C172" s="95" t="s">
        <v>50</v>
      </c>
      <c r="D172" s="96">
        <v>1</v>
      </c>
      <c r="E172" s="95">
        <f>142.833-14.5-0.75</f>
        <v>127.583</v>
      </c>
      <c r="F172" s="95">
        <v>4.4165999999999999</v>
      </c>
      <c r="G172" s="95"/>
      <c r="H172" s="331">
        <f>D172*IF(OR(E172=0,E172="-"),1,E172)*IF(OR(F172=0,F172="-"),1,F172)*IF(OR(G172=0,G172="-"),1,G172)</f>
        <v>563.48307779999993</v>
      </c>
      <c r="I172" s="97" t="s">
        <v>61</v>
      </c>
      <c r="J172" s="15"/>
      <c r="K172" s="16"/>
      <c r="L172" s="17"/>
    </row>
    <row r="173" spans="1:12" ht="15.6" x14ac:dyDescent="0.3">
      <c r="A173" s="339"/>
      <c r="B173" s="6"/>
      <c r="C173" s="95" t="s">
        <v>75</v>
      </c>
      <c r="D173" s="96">
        <v>1</v>
      </c>
      <c r="E173" s="95">
        <f>57.583+2-6.75-1.5</f>
        <v>51.332999999999998</v>
      </c>
      <c r="F173" s="95">
        <v>4.4165999999999999</v>
      </c>
      <c r="G173" s="95"/>
      <c r="H173" s="331">
        <f>D173*IF(OR(E173=0,E173="-"),1,E173)*IF(OR(F173=0,F173="-"),1,F173)*IF(OR(G173=0,G173="-"),1,G173)</f>
        <v>226.71732779999999</v>
      </c>
      <c r="I173" s="97" t="s">
        <v>61</v>
      </c>
      <c r="J173" s="15"/>
      <c r="K173" s="16"/>
      <c r="L173" s="17"/>
    </row>
    <row r="174" spans="1:12" ht="15.6" x14ac:dyDescent="0.3">
      <c r="A174" s="339"/>
      <c r="B174" s="6"/>
      <c r="C174" s="95" t="s">
        <v>78</v>
      </c>
      <c r="D174" s="96">
        <f>2*(12+12+5)</f>
        <v>58</v>
      </c>
      <c r="E174" s="95">
        <v>1.5</v>
      </c>
      <c r="F174" s="95">
        <v>1.5</v>
      </c>
      <c r="G174" s="95"/>
      <c r="H174" s="331">
        <f>D174*IF(OR(E174=0,E174="-"),1,E174)*IF(OR(F174=0,F174="-"),1,F174)*IF(OR(G174=0,G174="-"),1,G174)</f>
        <v>130.5</v>
      </c>
      <c r="I174" s="97" t="s">
        <v>61</v>
      </c>
      <c r="J174" s="15"/>
      <c r="K174" s="16"/>
      <c r="L174" s="17"/>
    </row>
    <row r="175" spans="1:12" ht="15.6" x14ac:dyDescent="0.3">
      <c r="A175" s="339"/>
      <c r="B175" s="6"/>
      <c r="C175" s="95"/>
      <c r="D175" s="96">
        <v>60</v>
      </c>
      <c r="E175" s="95">
        <v>0.75</v>
      </c>
      <c r="F175" s="95">
        <v>1.5</v>
      </c>
      <c r="G175" s="95"/>
      <c r="H175" s="331">
        <f>D175*IF(OR(E175=0,E175="-"),1,E175)*IF(OR(F175=0,F175="-"),1,F175)*IF(OR(G175=0,G175="-"),1,G175)</f>
        <v>67.5</v>
      </c>
      <c r="I175" s="97" t="s">
        <v>61</v>
      </c>
      <c r="J175" s="15"/>
      <c r="K175" s="16"/>
      <c r="L175" s="17"/>
    </row>
    <row r="176" spans="1:12" ht="15.6" x14ac:dyDescent="0.3">
      <c r="A176" s="339"/>
      <c r="B176" s="6"/>
      <c r="C176" s="95"/>
      <c r="D176" s="96">
        <v>8</v>
      </c>
      <c r="E176" s="95">
        <v>1.875</v>
      </c>
      <c r="F176" s="95">
        <v>1.5</v>
      </c>
      <c r="G176" s="95"/>
      <c r="H176" s="331">
        <f>D176*IF(OR(E176=0,E176="-"),1,E176)*IF(OR(F176=0,F176="-"),1,F176)*IF(OR(G176=0,G176="-"),1,G176)</f>
        <v>22.5</v>
      </c>
      <c r="I176" s="97" t="s">
        <v>61</v>
      </c>
      <c r="J176" s="15"/>
      <c r="K176" s="16"/>
      <c r="L176" s="17"/>
    </row>
    <row r="177" spans="1:12" ht="15.6" x14ac:dyDescent="0.3">
      <c r="A177" s="339"/>
      <c r="B177" s="6"/>
      <c r="C177" s="95" t="s">
        <v>16</v>
      </c>
      <c r="D177" s="96">
        <v>0.5</v>
      </c>
      <c r="E177" s="95">
        <v>14</v>
      </c>
      <c r="F177" s="95">
        <v>10.25</v>
      </c>
      <c r="G177" s="95"/>
      <c r="H177" s="331">
        <f>D177*IF(OR(E177=0,E177="-"),1,E177)*IF(OR(F177=0,F177="-"),1,F177)*IF(OR(G177=0,G177="-"),1,G177)</f>
        <v>71.75</v>
      </c>
      <c r="I177" s="97" t="s">
        <v>61</v>
      </c>
      <c r="J177" s="15"/>
      <c r="K177" s="16"/>
      <c r="L177" s="17"/>
    </row>
    <row r="178" spans="1:12" ht="15.6" x14ac:dyDescent="0.3">
      <c r="A178" s="339"/>
      <c r="B178" s="6"/>
      <c r="C178" s="95"/>
      <c r="D178" s="96">
        <v>1</v>
      </c>
      <c r="E178" s="95">
        <v>3.5</v>
      </c>
      <c r="F178" s="95">
        <v>10.25</v>
      </c>
      <c r="G178" s="95"/>
      <c r="H178" s="331">
        <f>D178*IF(OR(E178=0,E178="-"),1,E178)*IF(OR(F178=0,F178="-"),1,F178)*IF(OR(G178=0,G178="-"),1,G178)</f>
        <v>35.875</v>
      </c>
      <c r="I178" s="97" t="s">
        <v>61</v>
      </c>
      <c r="J178" s="15"/>
      <c r="K178" s="16"/>
      <c r="L178" s="17"/>
    </row>
    <row r="179" spans="1:12" ht="15.6" x14ac:dyDescent="0.3">
      <c r="A179" s="339"/>
      <c r="B179" s="6"/>
      <c r="C179" s="95" t="s">
        <v>79</v>
      </c>
      <c r="D179" s="96">
        <v>1</v>
      </c>
      <c r="E179" s="95">
        <v>6.75</v>
      </c>
      <c r="F179" s="95">
        <v>2</v>
      </c>
      <c r="G179" s="95"/>
      <c r="H179" s="331">
        <f>D179*IF(OR(E179=0,E179="-"),1,E179)*IF(OR(F179=0,F179="-"),1,F179)*IF(OR(G179=0,G179="-"),1,G179)</f>
        <v>13.5</v>
      </c>
      <c r="I179" s="97" t="s">
        <v>61</v>
      </c>
      <c r="J179" s="15"/>
      <c r="K179" s="16"/>
      <c r="L179" s="17"/>
    </row>
    <row r="180" spans="1:12" ht="15.6" x14ac:dyDescent="0.3">
      <c r="A180" s="339"/>
      <c r="B180" s="6"/>
      <c r="C180" s="95"/>
      <c r="D180" s="96">
        <v>1</v>
      </c>
      <c r="E180" s="95">
        <v>2</v>
      </c>
      <c r="F180" s="95">
        <v>2</v>
      </c>
      <c r="G180" s="95"/>
      <c r="H180" s="331">
        <f>D180*IF(OR(E180=0,E180="-"),1,E180)*IF(OR(F180=0,F180="-"),1,F180)*IF(OR(G180=0,G180="-"),1,G180)</f>
        <v>4</v>
      </c>
      <c r="I180" s="97" t="s">
        <v>61</v>
      </c>
      <c r="J180" s="15"/>
      <c r="K180" s="16"/>
      <c r="L180" s="17"/>
    </row>
    <row r="181" spans="1:12" ht="15.6" x14ac:dyDescent="0.3">
      <c r="A181" s="340"/>
      <c r="B181" s="40"/>
      <c r="C181" s="125"/>
      <c r="D181" s="124"/>
      <c r="E181" s="125"/>
      <c r="F181" s="253" t="s">
        <v>62</v>
      </c>
      <c r="G181" s="253"/>
      <c r="H181" s="333">
        <f>SUM(H165:INDEX(H:H,ROW()-1))</f>
        <v>1942.3254056000001</v>
      </c>
      <c r="I181" s="126" t="s">
        <v>61</v>
      </c>
      <c r="J181" s="24"/>
      <c r="K181" s="322">
        <f>0</f>
        <v>0</v>
      </c>
      <c r="L181" s="25"/>
    </row>
    <row r="182" spans="1:12" ht="46.8" x14ac:dyDescent="0.3">
      <c r="A182" s="341"/>
      <c r="B182" s="42"/>
      <c r="C182" s="101"/>
      <c r="D182" s="100"/>
      <c r="E182" s="254" t="s">
        <v>63</v>
      </c>
      <c r="F182" s="254"/>
      <c r="G182" s="254"/>
      <c r="H182" s="333">
        <f>ROUND(H181*0.0929,3)</f>
        <v>180.44200000000001</v>
      </c>
      <c r="I182" s="103" t="s">
        <v>64</v>
      </c>
      <c r="J182" s="24" t="s">
        <v>27</v>
      </c>
      <c r="K182" s="323">
        <f>IF(B164="11.6.2",IF(J182="Labour Rate Amnd",88,IF(J182="Material Rate Amnd",39,IF(J182="Through Rate Amnd",127,IF(J182="Labour Rate",47,IF(J182="Material Rate",39,IF(J182="Through Rate",86,0)))))),"")</f>
        <v>88</v>
      </c>
      <c r="L182" s="319">
        <f>IF(H182*K182&lt;&gt;0,H182*K182,0)</f>
        <v>15878.896000000001</v>
      </c>
    </row>
    <row r="183" spans="1:12" ht="13.95" customHeight="1" x14ac:dyDescent="0.3">
      <c r="A183" s="342"/>
      <c r="B183" s="32"/>
      <c r="C183" s="130"/>
      <c r="D183" s="131"/>
      <c r="E183" s="130"/>
      <c r="F183" s="130"/>
      <c r="G183" s="130"/>
      <c r="H183" s="132"/>
      <c r="I183" s="133"/>
      <c r="J183" s="8"/>
      <c r="K183" s="9"/>
      <c r="L183" s="37"/>
    </row>
    <row r="184" spans="1:12" s="273" customFormat="1" ht="41.4" x14ac:dyDescent="0.3">
      <c r="A184" s="343">
        <f>IFERROR(LOOKUP(2,1/(ISNUMBER($A$2:$A$183)),$A$2:$A$183),0)+1</f>
        <v>18</v>
      </c>
      <c r="B184" s="268" t="s">
        <v>80</v>
      </c>
      <c r="C184" s="308" t="s">
        <v>178</v>
      </c>
      <c r="D184" s="282"/>
      <c r="E184" s="283"/>
      <c r="F184" s="284"/>
      <c r="G184" s="283"/>
      <c r="H184" s="7"/>
      <c r="I184" s="285"/>
      <c r="J184" s="8"/>
      <c r="K184" s="9"/>
      <c r="L184" s="286"/>
    </row>
    <row r="185" spans="1:12" ht="15.6" x14ac:dyDescent="0.3">
      <c r="A185" s="339"/>
      <c r="B185" s="45"/>
      <c r="C185" s="51" t="s">
        <v>48</v>
      </c>
      <c r="D185" s="47">
        <v>1</v>
      </c>
      <c r="E185" s="47">
        <v>5.25</v>
      </c>
      <c r="F185" s="48">
        <v>6.75</v>
      </c>
      <c r="G185" s="47"/>
      <c r="H185" s="246">
        <f>D185*IF(OR(E185=0,E185="-"),1,E185)*IF(OR(F185=0,F185="-"),1,F185)*IF(OR(G185=0,G185="-"),1,G185)</f>
        <v>35.4375</v>
      </c>
      <c r="I185" s="50" t="s">
        <v>61</v>
      </c>
      <c r="J185" s="15"/>
      <c r="K185" s="16"/>
      <c r="L185" s="134"/>
    </row>
    <row r="186" spans="1:12" ht="15.6" x14ac:dyDescent="0.3">
      <c r="A186" s="339"/>
      <c r="B186" s="45"/>
      <c r="C186" s="51"/>
      <c r="D186" s="47">
        <v>1</v>
      </c>
      <c r="E186" s="47">
        <v>6.75</v>
      </c>
      <c r="F186" s="48">
        <v>7</v>
      </c>
      <c r="G186" s="47"/>
      <c r="H186" s="246">
        <f>D186*IF(OR(E186=0,E186="-"),1,E186)*IF(OR(F186=0,F186="-"),1,F186)*IF(OR(G186=0,G186="-"),1,G186)</f>
        <v>47.25</v>
      </c>
      <c r="I186" s="50" t="s">
        <v>61</v>
      </c>
      <c r="J186" s="15"/>
      <c r="K186" s="16"/>
      <c r="L186" s="134"/>
    </row>
    <row r="187" spans="1:12" ht="15.6" x14ac:dyDescent="0.3">
      <c r="A187" s="339"/>
      <c r="B187" s="45"/>
      <c r="C187" s="95" t="s">
        <v>81</v>
      </c>
      <c r="D187" s="96">
        <v>1</v>
      </c>
      <c r="E187" s="95">
        <f>142.833-14.5-0.75</f>
        <v>127.583</v>
      </c>
      <c r="F187" s="95">
        <v>0.75</v>
      </c>
      <c r="G187" s="47"/>
      <c r="H187" s="246">
        <f>D187*IF(OR(E187=0,E187="-"),1,E187)*IF(OR(F187=0,F187="-"),1,F187)*IF(OR(G187=0,G187="-"),1,G187)</f>
        <v>95.687250000000006</v>
      </c>
      <c r="I187" s="50" t="s">
        <v>61</v>
      </c>
      <c r="J187" s="15"/>
      <c r="K187" s="16"/>
      <c r="L187" s="134"/>
    </row>
    <row r="188" spans="1:12" ht="15.6" x14ac:dyDescent="0.3">
      <c r="A188" s="339"/>
      <c r="B188" s="45"/>
      <c r="C188" s="95"/>
      <c r="D188" s="96">
        <v>1</v>
      </c>
      <c r="E188" s="95">
        <f>57.583+2-6.75-1.5</f>
        <v>51.332999999999998</v>
      </c>
      <c r="F188" s="95">
        <v>0.75</v>
      </c>
      <c r="G188" s="47"/>
      <c r="H188" s="246">
        <f>D188*IF(OR(E188=0,E188="-"),1,E188)*IF(OR(F188=0,F188="-"),1,F188)*IF(OR(G188=0,G188="-"),1,G188)</f>
        <v>38.499749999999999</v>
      </c>
      <c r="I188" s="50" t="s">
        <v>61</v>
      </c>
      <c r="J188" s="15"/>
      <c r="K188" s="16"/>
      <c r="L188" s="134"/>
    </row>
    <row r="189" spans="1:12" ht="15.6" x14ac:dyDescent="0.3">
      <c r="A189" s="339"/>
      <c r="B189" s="45"/>
      <c r="C189" s="95" t="s">
        <v>16</v>
      </c>
      <c r="D189" s="96">
        <v>1</v>
      </c>
      <c r="E189" s="95">
        <f>14-0.75</f>
        <v>13.25</v>
      </c>
      <c r="F189" s="95">
        <f>3.5-0.75</f>
        <v>2.75</v>
      </c>
      <c r="G189" s="47"/>
      <c r="H189" s="246">
        <f>D189*IF(OR(E189=0,E189="-"),1,E189)*IF(OR(F189=0,F189="-"),1,F189)*IF(OR(G189=0,G189="-"),1,G189)</f>
        <v>36.4375</v>
      </c>
      <c r="I189" s="50" t="s">
        <v>61</v>
      </c>
      <c r="J189" s="15"/>
      <c r="K189" s="16"/>
      <c r="L189" s="134"/>
    </row>
    <row r="190" spans="1:12" ht="15.6" x14ac:dyDescent="0.3">
      <c r="A190" s="340"/>
      <c r="B190" s="19"/>
      <c r="C190" s="20"/>
      <c r="D190" s="21"/>
      <c r="E190" s="21"/>
      <c r="F190" s="251" t="s">
        <v>62</v>
      </c>
      <c r="G190" s="251"/>
      <c r="H190" s="328">
        <f>SUM(H185:INDEX(H:H,ROW()-1))</f>
        <v>253.31200000000001</v>
      </c>
      <c r="I190" s="23" t="s">
        <v>61</v>
      </c>
      <c r="J190" s="24"/>
      <c r="K190" s="322">
        <f>0</f>
        <v>0</v>
      </c>
      <c r="L190" s="25"/>
    </row>
    <row r="191" spans="1:12" ht="31.2" x14ac:dyDescent="0.3">
      <c r="A191" s="341"/>
      <c r="B191" s="27"/>
      <c r="C191" s="28"/>
      <c r="D191" s="29"/>
      <c r="E191" s="248" t="s">
        <v>63</v>
      </c>
      <c r="F191" s="248"/>
      <c r="G191" s="248"/>
      <c r="H191" s="328">
        <f>ROUND(H190*0.0929,3)</f>
        <v>23.533000000000001</v>
      </c>
      <c r="I191" s="30" t="s">
        <v>64</v>
      </c>
      <c r="J191" s="24" t="s">
        <v>22</v>
      </c>
      <c r="K191" s="323">
        <f>IF(B184="10.8",IF(J191="Labour Rate",70,IF(J191="Material Rate",112,IF(J191="Through Rate",181,0))),"")</f>
        <v>70</v>
      </c>
      <c r="L191" s="319">
        <f>IF(H191*K191&lt;&gt;0,H191*K191,0)</f>
        <v>1647.3100000000002</v>
      </c>
    </row>
    <row r="192" spans="1:12" ht="13.95" customHeight="1" x14ac:dyDescent="0.3">
      <c r="A192" s="342"/>
      <c r="B192" s="105"/>
      <c r="C192" s="106"/>
      <c r="D192" s="34"/>
      <c r="E192" s="34"/>
      <c r="F192" s="35"/>
      <c r="G192" s="34"/>
      <c r="H192" s="7"/>
      <c r="I192" s="36"/>
      <c r="J192" s="8"/>
      <c r="K192" s="9"/>
      <c r="L192" s="37"/>
    </row>
    <row r="193" spans="1:12" s="273" customFormat="1" ht="106.8" x14ac:dyDescent="0.3">
      <c r="A193" s="343">
        <f>IFERROR(LOOKUP(2,1/(ISNUMBER($A$2:$A$192)),$A$2:$A$192),0)+1</f>
        <v>19</v>
      </c>
      <c r="B193" s="268" t="s">
        <v>82</v>
      </c>
      <c r="C193" s="308" t="s">
        <v>177</v>
      </c>
      <c r="D193" s="282"/>
      <c r="E193" s="283"/>
      <c r="F193" s="284"/>
      <c r="G193" s="283"/>
      <c r="H193" s="7"/>
      <c r="I193" s="285"/>
      <c r="J193" s="135"/>
      <c r="K193" s="9"/>
      <c r="L193" s="300"/>
    </row>
    <row r="194" spans="1:12" ht="20.399999999999999" x14ac:dyDescent="0.3">
      <c r="A194" s="339"/>
      <c r="B194" s="136"/>
      <c r="C194" s="137"/>
      <c r="D194" s="12">
        <v>1</v>
      </c>
      <c r="E194" s="12">
        <v>5.25</v>
      </c>
      <c r="F194" s="13">
        <v>6.75</v>
      </c>
      <c r="G194" s="138"/>
      <c r="H194" s="334">
        <f>D194*IF(OR(E194=0,E194="-"),1,E194)*IF(OR(F194=0,F194="-"),1,F194)*IF(OR(G194=0,G194="-"),1,G194)</f>
        <v>35.4375</v>
      </c>
      <c r="I194" s="139" t="s">
        <v>61</v>
      </c>
      <c r="J194" s="140"/>
      <c r="K194" s="16"/>
      <c r="L194" s="141"/>
    </row>
    <row r="195" spans="1:12" ht="20.399999999999999" x14ac:dyDescent="0.3">
      <c r="A195" s="339"/>
      <c r="B195" s="136"/>
      <c r="C195" s="137"/>
      <c r="D195" s="12">
        <v>1</v>
      </c>
      <c r="E195" s="12">
        <v>7</v>
      </c>
      <c r="F195" s="13">
        <v>6.75</v>
      </c>
      <c r="G195" s="138"/>
      <c r="H195" s="334">
        <f>D195*IF(OR(E195=0,E195="-"),1,E195)*IF(OR(F195=0,F195="-"),1,F195)*IF(OR(G195=0,G195="-"),1,G195)</f>
        <v>47.25</v>
      </c>
      <c r="I195" s="139" t="s">
        <v>61</v>
      </c>
      <c r="J195" s="140"/>
      <c r="K195" s="16"/>
      <c r="L195" s="141"/>
    </row>
    <row r="196" spans="1:12" ht="15.6" x14ac:dyDescent="0.3">
      <c r="A196" s="340"/>
      <c r="B196" s="19"/>
      <c r="C196" s="20"/>
      <c r="D196" s="21"/>
      <c r="E196" s="21"/>
      <c r="F196" s="251" t="s">
        <v>62</v>
      </c>
      <c r="G196" s="251"/>
      <c r="H196" s="245">
        <f>SUM(H194:INDEX(H:H,ROW()-1))</f>
        <v>82.6875</v>
      </c>
      <c r="I196" s="23" t="s">
        <v>61</v>
      </c>
      <c r="J196" s="24"/>
      <c r="K196" s="322">
        <f>0</f>
        <v>0</v>
      </c>
      <c r="L196" s="25"/>
    </row>
    <row r="197" spans="1:12" ht="31.2" x14ac:dyDescent="0.3">
      <c r="A197" s="341"/>
      <c r="B197" s="27"/>
      <c r="C197" s="28"/>
      <c r="D197" s="29"/>
      <c r="E197" s="248" t="s">
        <v>63</v>
      </c>
      <c r="F197" s="248"/>
      <c r="G197" s="248"/>
      <c r="H197" s="328">
        <f>ROUND(H196*0.0929,3)</f>
        <v>7.6820000000000004</v>
      </c>
      <c r="I197" s="30" t="s">
        <v>64</v>
      </c>
      <c r="J197" s="24" t="s">
        <v>22</v>
      </c>
      <c r="K197" s="323">
        <f>IF(B193="10.63.2",IF(J197="Labour Rate",175,IF(J197="Material Rate",811,IF(J197="Through Rate",987,0))),"")</f>
        <v>175</v>
      </c>
      <c r="L197" s="319">
        <f>IF(H197*K197&lt;&gt;0,H197*K197,0)</f>
        <v>1344.3500000000001</v>
      </c>
    </row>
    <row r="198" spans="1:12" ht="13.95" customHeight="1" x14ac:dyDescent="0.3">
      <c r="A198" s="342"/>
      <c r="B198" s="105"/>
      <c r="C198" s="106"/>
      <c r="D198" s="34"/>
      <c r="E198" s="34"/>
      <c r="F198" s="35"/>
      <c r="G198" s="34"/>
      <c r="H198" s="7"/>
      <c r="I198" s="36"/>
      <c r="J198" s="8"/>
      <c r="K198" s="9"/>
      <c r="L198" s="37"/>
    </row>
    <row r="199" spans="1:12" s="273" customFormat="1" ht="110.4" x14ac:dyDescent="0.3">
      <c r="A199" s="343">
        <f>IFERROR(LOOKUP(2,1/(ISNUMBER($A$2:$A$198)),$A$2:$A$198),0)+1</f>
        <v>20</v>
      </c>
      <c r="B199" s="293" t="s">
        <v>83</v>
      </c>
      <c r="C199" s="311" t="s">
        <v>176</v>
      </c>
      <c r="D199" s="294"/>
      <c r="E199" s="295"/>
      <c r="F199" s="296"/>
      <c r="G199" s="297"/>
      <c r="H199" s="142"/>
      <c r="I199" s="298"/>
      <c r="J199" s="143"/>
      <c r="K199" s="144"/>
      <c r="L199" s="299"/>
    </row>
    <row r="200" spans="1:12" ht="17.399999999999999" x14ac:dyDescent="0.3">
      <c r="A200" s="339"/>
      <c r="B200" s="145"/>
      <c r="C200" s="146"/>
      <c r="D200" s="147">
        <v>2</v>
      </c>
      <c r="E200" s="148">
        <v>5.25</v>
      </c>
      <c r="F200" s="148"/>
      <c r="G200" s="148">
        <v>7</v>
      </c>
      <c r="H200" s="335">
        <f>D200*IF(OR(E200=0,E200="-"),1,E200)*IF(OR(F200=0,F200="-"),1,F200)*IF(OR(G200=0,G200="-"),1,G200)</f>
        <v>73.5</v>
      </c>
      <c r="I200" s="149" t="s">
        <v>61</v>
      </c>
      <c r="J200" s="140"/>
      <c r="K200" s="150"/>
      <c r="L200" s="151"/>
    </row>
    <row r="201" spans="1:12" ht="17.399999999999999" x14ac:dyDescent="0.3">
      <c r="A201" s="339"/>
      <c r="B201" s="145"/>
      <c r="C201" s="146"/>
      <c r="D201" s="147">
        <v>4</v>
      </c>
      <c r="E201" s="148">
        <v>6.75</v>
      </c>
      <c r="F201" s="148"/>
      <c r="G201" s="148">
        <v>7</v>
      </c>
      <c r="H201" s="335">
        <f>D201*IF(OR(E201=0,E201="-"),1,E201)*IF(OR(F201=0,F201="-"),1,F201)*IF(OR(G201=0,G201="-"),1,G201)</f>
        <v>189</v>
      </c>
      <c r="I201" s="149" t="s">
        <v>61</v>
      </c>
      <c r="J201" s="140"/>
      <c r="K201" s="150"/>
      <c r="L201" s="151"/>
    </row>
    <row r="202" spans="1:12" ht="17.399999999999999" x14ac:dyDescent="0.3">
      <c r="A202" s="339"/>
      <c r="B202" s="145"/>
      <c r="C202" s="146"/>
      <c r="D202" s="147">
        <v>2</v>
      </c>
      <c r="E202" s="148">
        <v>7</v>
      </c>
      <c r="F202" s="148"/>
      <c r="G202" s="148">
        <v>7</v>
      </c>
      <c r="H202" s="335">
        <f>D202*IF(OR(E202=0,E202="-"),1,E202)*IF(OR(F202=0,F202="-"),1,F202)*IF(OR(G202=0,G202="-"),1,G202)</f>
        <v>98</v>
      </c>
      <c r="I202" s="149" t="s">
        <v>61</v>
      </c>
      <c r="J202" s="140"/>
      <c r="K202" s="150"/>
      <c r="L202" s="151"/>
    </row>
    <row r="203" spans="1:12" ht="17.399999999999999" x14ac:dyDescent="0.3">
      <c r="A203" s="339"/>
      <c r="B203" s="145"/>
      <c r="C203" s="146" t="s">
        <v>84</v>
      </c>
      <c r="D203" s="147">
        <v>1</v>
      </c>
      <c r="E203" s="148">
        <v>38.5</v>
      </c>
      <c r="F203" s="148"/>
      <c r="G203" s="148">
        <v>5</v>
      </c>
      <c r="H203" s="335">
        <f>D203*IF(OR(E203=0,E203="-"),1,E203)*IF(OR(F203=0,F203="-"),1,F203)*IF(OR(G203=0,G203="-"),1,G203)</f>
        <v>192.5</v>
      </c>
      <c r="I203" s="149" t="s">
        <v>61</v>
      </c>
      <c r="J203" s="140"/>
      <c r="K203" s="150"/>
      <c r="L203" s="151"/>
    </row>
    <row r="204" spans="1:12" ht="17.399999999999999" x14ac:dyDescent="0.3">
      <c r="A204" s="339"/>
      <c r="B204" s="145"/>
      <c r="C204" s="146"/>
      <c r="D204" s="147">
        <v>1</v>
      </c>
      <c r="E204" s="148">
        <v>30.5</v>
      </c>
      <c r="F204" s="148"/>
      <c r="G204" s="148">
        <v>5</v>
      </c>
      <c r="H204" s="335">
        <f>D204*IF(OR(E204=0,E204="-"),1,E204)*IF(OR(F204=0,F204="-"),1,F204)*IF(OR(G204=0,G204="-"),1,G204)</f>
        <v>152.5</v>
      </c>
      <c r="I204" s="149" t="s">
        <v>61</v>
      </c>
      <c r="J204" s="140"/>
      <c r="K204" s="150"/>
      <c r="L204" s="151"/>
    </row>
    <row r="205" spans="1:12" ht="17.399999999999999" x14ac:dyDescent="0.3">
      <c r="A205" s="339"/>
      <c r="B205" s="145"/>
      <c r="C205" s="146"/>
      <c r="D205" s="147">
        <v>1</v>
      </c>
      <c r="E205" s="148">
        <v>18.5</v>
      </c>
      <c r="F205" s="148"/>
      <c r="G205" s="148">
        <v>5</v>
      </c>
      <c r="H205" s="335">
        <f>D205*IF(OR(E205=0,E205="-"),1,E205)*IF(OR(F205=0,F205="-"),1,F205)*IF(OR(G205=0,G205="-"),1,G205)</f>
        <v>92.5</v>
      </c>
      <c r="I205" s="149" t="s">
        <v>61</v>
      </c>
      <c r="J205" s="140"/>
      <c r="K205" s="150"/>
      <c r="L205" s="151"/>
    </row>
    <row r="206" spans="1:12" ht="17.399999999999999" x14ac:dyDescent="0.3">
      <c r="A206" s="339"/>
      <c r="B206" s="145"/>
      <c r="C206" s="146"/>
      <c r="D206" s="147">
        <v>1</v>
      </c>
      <c r="E206" s="148">
        <v>9.25</v>
      </c>
      <c r="F206" s="148"/>
      <c r="G206" s="148">
        <v>5</v>
      </c>
      <c r="H206" s="335">
        <f>D206*IF(OR(E206=0,E206="-"),1,E206)*IF(OR(F206=0,F206="-"),1,F206)*IF(OR(G206=0,G206="-"),1,G206)</f>
        <v>46.25</v>
      </c>
      <c r="I206" s="149" t="s">
        <v>61</v>
      </c>
      <c r="J206" s="140"/>
      <c r="K206" s="150"/>
      <c r="L206" s="151"/>
    </row>
    <row r="207" spans="1:12" ht="17.399999999999999" x14ac:dyDescent="0.3">
      <c r="A207" s="339"/>
      <c r="B207" s="145"/>
      <c r="C207" s="146"/>
      <c r="D207" s="147">
        <v>1</v>
      </c>
      <c r="E207" s="148">
        <f>30.5-18.5</f>
        <v>12</v>
      </c>
      <c r="F207" s="148"/>
      <c r="G207" s="148">
        <v>5</v>
      </c>
      <c r="H207" s="335">
        <f>D207*IF(OR(E207=0,E207="-"),1,E207)*IF(OR(F207=0,F207="-"),1,F207)*IF(OR(G207=0,G207="-"),1,G207)</f>
        <v>60</v>
      </c>
      <c r="I207" s="149" t="s">
        <v>61</v>
      </c>
      <c r="J207" s="140"/>
      <c r="K207" s="150"/>
      <c r="L207" s="151"/>
    </row>
    <row r="208" spans="1:12" ht="17.399999999999999" x14ac:dyDescent="0.3">
      <c r="A208" s="339"/>
      <c r="B208" s="145"/>
      <c r="C208" s="146"/>
      <c r="D208" s="147">
        <v>2</v>
      </c>
      <c r="E208" s="148">
        <v>8.5</v>
      </c>
      <c r="F208" s="148"/>
      <c r="G208" s="148">
        <v>5</v>
      </c>
      <c r="H208" s="335">
        <f>D208*IF(OR(E208=0,E208="-"),1,E208)*IF(OR(F208=0,F208="-"),1,F208)*IF(OR(G208=0,G208="-"),1,G208)</f>
        <v>85</v>
      </c>
      <c r="I208" s="149" t="s">
        <v>61</v>
      </c>
      <c r="J208" s="140"/>
      <c r="K208" s="150"/>
      <c r="L208" s="151"/>
    </row>
    <row r="209" spans="1:12" ht="17.399999999999999" x14ac:dyDescent="0.3">
      <c r="A209" s="339"/>
      <c r="B209" s="145"/>
      <c r="C209" s="146"/>
      <c r="D209" s="147">
        <v>2</v>
      </c>
      <c r="E209" s="148">
        <v>11.25</v>
      </c>
      <c r="F209" s="148"/>
      <c r="G209" s="148">
        <v>5</v>
      </c>
      <c r="H209" s="335">
        <f>D209*IF(OR(E209=0,E209="-"),1,E209)*IF(OR(F209=0,F209="-"),1,F209)*IF(OR(G209=0,G209="-"),1,G209)</f>
        <v>112.5</v>
      </c>
      <c r="I209" s="149" t="s">
        <v>61</v>
      </c>
      <c r="J209" s="140"/>
      <c r="K209" s="150"/>
      <c r="L209" s="151"/>
    </row>
    <row r="210" spans="1:12" ht="17.399999999999999" x14ac:dyDescent="0.3">
      <c r="A210" s="339"/>
      <c r="B210" s="145"/>
      <c r="C210" s="146"/>
      <c r="D210" s="147">
        <v>-1</v>
      </c>
      <c r="E210" s="148">
        <v>4</v>
      </c>
      <c r="F210" s="148"/>
      <c r="G210" s="148">
        <v>5</v>
      </c>
      <c r="H210" s="335">
        <f>D210*IF(OR(E210=0,E210="-"),1,E210)*IF(OR(F210=0,F210="-"),1,F210)*IF(OR(G210=0,G210="-"),1,G210)</f>
        <v>-20</v>
      </c>
      <c r="I210" s="149" t="s">
        <v>61</v>
      </c>
      <c r="J210" s="140"/>
      <c r="K210" s="150"/>
      <c r="L210" s="151"/>
    </row>
    <row r="211" spans="1:12" ht="15.6" x14ac:dyDescent="0.3">
      <c r="A211" s="340"/>
      <c r="B211" s="19"/>
      <c r="C211" s="20"/>
      <c r="D211" s="21"/>
      <c r="E211" s="21"/>
      <c r="F211" s="251" t="s">
        <v>62</v>
      </c>
      <c r="G211" s="251"/>
      <c r="H211" s="245">
        <f>SUM(H200:INDEX(H:H,ROW()-1))</f>
        <v>1081.75</v>
      </c>
      <c r="I211" s="23" t="s">
        <v>61</v>
      </c>
      <c r="J211" s="24"/>
      <c r="K211" s="322">
        <f>0</f>
        <v>0</v>
      </c>
      <c r="L211" s="25"/>
    </row>
    <row r="212" spans="1:12" ht="31.2" x14ac:dyDescent="0.3">
      <c r="A212" s="341"/>
      <c r="B212" s="27"/>
      <c r="C212" s="28"/>
      <c r="D212" s="29"/>
      <c r="E212" s="248" t="s">
        <v>63</v>
      </c>
      <c r="F212" s="248"/>
      <c r="G212" s="248"/>
      <c r="H212" s="328">
        <f>ROUND(H211*0.0929,3)</f>
        <v>100.495</v>
      </c>
      <c r="I212" s="30" t="s">
        <v>64</v>
      </c>
      <c r="J212" s="24" t="s">
        <v>22</v>
      </c>
      <c r="K212" s="323">
        <f>IF(B199="10.58",IF(J212="Labour Rate",210,IF(J212="Material Rate",329,IF(J212="Through Rate",538,0))),"")</f>
        <v>210</v>
      </c>
      <c r="L212" s="319">
        <f>IF(H212*K212&lt;&gt;0,H212*K212,0)</f>
        <v>21103.95</v>
      </c>
    </row>
    <row r="213" spans="1:12" ht="13.95" customHeight="1" x14ac:dyDescent="0.3">
      <c r="A213" s="342"/>
      <c r="B213" s="32"/>
      <c r="C213" s="33"/>
      <c r="D213" s="34"/>
      <c r="E213" s="34"/>
      <c r="F213" s="35"/>
      <c r="G213" s="34"/>
      <c r="H213" s="7"/>
      <c r="I213" s="36"/>
      <c r="J213" s="8"/>
      <c r="K213" s="9"/>
      <c r="L213" s="37"/>
    </row>
    <row r="214" spans="1:12" s="273" customFormat="1" ht="93" x14ac:dyDescent="0.3">
      <c r="A214" s="343">
        <f>IFERROR(LOOKUP(2,1/(ISNUMBER($A$2:$A$213)),$A$2:$A$213),0)+1</f>
        <v>21</v>
      </c>
      <c r="B214" s="268" t="s">
        <v>85</v>
      </c>
      <c r="C214" s="308" t="s">
        <v>175</v>
      </c>
      <c r="D214" s="282"/>
      <c r="E214" s="292"/>
      <c r="F214" s="284"/>
      <c r="G214" s="283"/>
      <c r="H214" s="7"/>
      <c r="I214" s="285"/>
      <c r="J214" s="8"/>
      <c r="K214" s="9"/>
      <c r="L214" s="286"/>
    </row>
    <row r="215" spans="1:12" ht="15.6" x14ac:dyDescent="0.3">
      <c r="A215" s="339"/>
      <c r="B215" s="10"/>
      <c r="C215" s="11" t="s">
        <v>86</v>
      </c>
      <c r="D215" s="12">
        <v>2</v>
      </c>
      <c r="E215" s="152">
        <f>27/12</f>
        <v>2.25</v>
      </c>
      <c r="F215" s="13" t="s">
        <v>74</v>
      </c>
      <c r="G215" s="12">
        <f>81/12</f>
        <v>6.75</v>
      </c>
      <c r="H215" s="246">
        <f>D215*IF(OR(E215=0,E215="-"),1,E215)*IF(OR(F215=0,F215="-"),1,F215)*IF(OR(G215=0,G215="-"),1,G215)</f>
        <v>30.375</v>
      </c>
      <c r="I215" s="14" t="s">
        <v>61</v>
      </c>
      <c r="J215" s="15"/>
      <c r="K215" s="16"/>
      <c r="L215" s="17"/>
    </row>
    <row r="216" spans="1:12" ht="15.6" x14ac:dyDescent="0.3">
      <c r="A216" s="340"/>
      <c r="B216" s="19"/>
      <c r="C216" s="20"/>
      <c r="D216" s="21"/>
      <c r="E216" s="153"/>
      <c r="F216" s="251" t="s">
        <v>62</v>
      </c>
      <c r="G216" s="251"/>
      <c r="H216" s="245">
        <f>SUM(H215:INDEX(H:H,ROW()-1))</f>
        <v>30.375</v>
      </c>
      <c r="I216" s="23" t="s">
        <v>61</v>
      </c>
      <c r="J216" s="24"/>
      <c r="K216" s="322">
        <f>0</f>
        <v>0</v>
      </c>
      <c r="L216" s="25"/>
    </row>
    <row r="217" spans="1:12" ht="31.2" x14ac:dyDescent="0.3">
      <c r="A217" s="341"/>
      <c r="B217" s="27"/>
      <c r="C217" s="28"/>
      <c r="D217" s="29"/>
      <c r="E217" s="257" t="s">
        <v>63</v>
      </c>
      <c r="F217" s="257"/>
      <c r="G217" s="257"/>
      <c r="H217" s="328">
        <f>ROUND(H216*0.0929,3)</f>
        <v>2.8220000000000001</v>
      </c>
      <c r="I217" s="30" t="s">
        <v>64</v>
      </c>
      <c r="J217" s="24" t="s">
        <v>22</v>
      </c>
      <c r="K217" s="323">
        <f>IF(B214="12.36.1",IF(J217="Labour Rate",159,IF(J217="Material Rate",2226,IF(J217="Through Rate",2385,0))),"")</f>
        <v>159</v>
      </c>
      <c r="L217" s="319">
        <f>IF(H217*K217&lt;&gt;0,H217*K217,0)</f>
        <v>448.69800000000004</v>
      </c>
    </row>
    <row r="218" spans="1:12" ht="13.95" customHeight="1" x14ac:dyDescent="0.3">
      <c r="A218" s="342"/>
      <c r="B218" s="32"/>
      <c r="C218" s="33"/>
      <c r="D218" s="34"/>
      <c r="E218" s="34"/>
      <c r="F218" s="35"/>
      <c r="G218" s="34"/>
      <c r="H218" s="7"/>
      <c r="I218" s="36"/>
      <c r="J218" s="8"/>
      <c r="K218" s="9"/>
      <c r="L218" s="37"/>
    </row>
    <row r="219" spans="1:12" s="273" customFormat="1" ht="103.2" x14ac:dyDescent="0.3">
      <c r="A219" s="343">
        <f>IFERROR(LOOKUP(2,1/(ISNUMBER($A$2:$A$218)),$A$2:$A$218),0)+1</f>
        <v>22</v>
      </c>
      <c r="B219" s="268" t="s">
        <v>87</v>
      </c>
      <c r="C219" s="309" t="s">
        <v>174</v>
      </c>
      <c r="D219" s="278"/>
      <c r="E219" s="279"/>
      <c r="F219" s="279"/>
      <c r="G219" s="279"/>
      <c r="H219" s="117"/>
      <c r="I219" s="280"/>
      <c r="J219" s="8"/>
      <c r="K219" s="9"/>
      <c r="L219" s="286"/>
    </row>
    <row r="220" spans="1:12" ht="15.6" x14ac:dyDescent="0.3">
      <c r="A220" s="339"/>
      <c r="B220" s="154"/>
      <c r="C220" s="155" t="s">
        <v>88</v>
      </c>
      <c r="D220" s="156">
        <f>8*2</f>
        <v>16</v>
      </c>
      <c r="E220" s="155">
        <v>1.833</v>
      </c>
      <c r="F220" s="155">
        <v>3.75</v>
      </c>
      <c r="G220" s="155"/>
      <c r="H220" s="331">
        <f>D220*IF(OR(E220=0,E220="-"),1,E220)*IF(OR(F220=0,F220="-"),1,F220)*IF(OR(G220=0,G220="-"),1,G220)</f>
        <v>109.98</v>
      </c>
      <c r="I220" s="157" t="s">
        <v>61</v>
      </c>
      <c r="J220" s="15"/>
      <c r="K220" s="16"/>
      <c r="L220" s="17"/>
    </row>
    <row r="221" spans="1:12" ht="15.6" x14ac:dyDescent="0.3">
      <c r="A221" s="339"/>
      <c r="B221" s="154"/>
      <c r="C221" s="155"/>
      <c r="D221" s="156">
        <f>4*1</f>
        <v>4</v>
      </c>
      <c r="E221" s="155">
        <v>1.25</v>
      </c>
      <c r="F221" s="155">
        <v>1.25</v>
      </c>
      <c r="G221" s="155"/>
      <c r="H221" s="331">
        <f>D221*IF(OR(E221=0,E221="-"),1,E221)*IF(OR(F221=0,F221="-"),1,F221)*IF(OR(G221=0,G221="-"),1,G221)</f>
        <v>6.25</v>
      </c>
      <c r="I221" s="157" t="s">
        <v>61</v>
      </c>
      <c r="J221" s="15"/>
      <c r="K221" s="16"/>
      <c r="L221" s="17"/>
    </row>
    <row r="222" spans="1:12" ht="15.6" x14ac:dyDescent="0.3">
      <c r="A222" s="339"/>
      <c r="B222" s="154"/>
      <c r="C222" s="155"/>
      <c r="D222" s="156">
        <v>1</v>
      </c>
      <c r="E222" s="155">
        <v>3.75</v>
      </c>
      <c r="F222" s="155">
        <v>1.25</v>
      </c>
      <c r="G222" s="155"/>
      <c r="H222" s="331">
        <f>D222*IF(OR(E222=0,E222="-"),1,E222)*IF(OR(F222=0,F222="-"),1,F222)*IF(OR(G222=0,G222="-"),1,G222)</f>
        <v>4.6875</v>
      </c>
      <c r="I222" s="157" t="s">
        <v>61</v>
      </c>
      <c r="J222" s="15"/>
      <c r="K222" s="16"/>
      <c r="L222" s="17"/>
    </row>
    <row r="223" spans="1:12" ht="15.6" x14ac:dyDescent="0.3">
      <c r="A223" s="340"/>
      <c r="B223" s="40"/>
      <c r="C223" s="52"/>
      <c r="D223" s="21"/>
      <c r="E223" s="21"/>
      <c r="F223" s="251" t="s">
        <v>62</v>
      </c>
      <c r="G223" s="251"/>
      <c r="H223" s="245">
        <f>SUM(H220:INDEX(H:H,ROW()-1))</f>
        <v>120.9175</v>
      </c>
      <c r="I223" s="23" t="s">
        <v>61</v>
      </c>
      <c r="J223" s="24"/>
      <c r="K223" s="322">
        <f>0</f>
        <v>0</v>
      </c>
      <c r="L223" s="25"/>
    </row>
    <row r="224" spans="1:12" ht="31.2" x14ac:dyDescent="0.3">
      <c r="A224" s="341"/>
      <c r="B224" s="42"/>
      <c r="C224" s="53"/>
      <c r="D224" s="29"/>
      <c r="E224" s="248" t="s">
        <v>63</v>
      </c>
      <c r="F224" s="248"/>
      <c r="G224" s="248"/>
      <c r="H224" s="328">
        <f>ROUND(H223*0.0929,3)</f>
        <v>11.233000000000001</v>
      </c>
      <c r="I224" s="30" t="s">
        <v>64</v>
      </c>
      <c r="J224" s="24" t="s">
        <v>22</v>
      </c>
      <c r="K224" s="323">
        <f>IF(B219="12.7.3.1",IF(J224="Labour Rate",445,IF(J224="Material Rate",1802,IF(J224="Through Rate",2247,0))),"")</f>
        <v>445</v>
      </c>
      <c r="L224" s="319">
        <f>IF(H224*K224&lt;&gt;0,H224*K224,0)</f>
        <v>4998.6850000000004</v>
      </c>
    </row>
    <row r="225" spans="1:12" ht="13.95" customHeight="1" x14ac:dyDescent="0.3">
      <c r="A225" s="342"/>
      <c r="B225" s="32"/>
      <c r="C225" s="33"/>
      <c r="D225" s="34"/>
      <c r="E225" s="34"/>
      <c r="F225" s="35"/>
      <c r="G225" s="34"/>
      <c r="H225" s="7"/>
      <c r="I225" s="36"/>
      <c r="J225" s="8"/>
      <c r="K225" s="9"/>
      <c r="L225" s="37"/>
    </row>
    <row r="226" spans="1:12" s="273" customFormat="1" ht="79.2" x14ac:dyDescent="0.3">
      <c r="A226" s="343">
        <f>IFERROR(LOOKUP(2,1/(ISNUMBER($A$2:$A$225)),$A$2:$A$225),0)+1</f>
        <v>23</v>
      </c>
      <c r="B226" s="268" t="s">
        <v>89</v>
      </c>
      <c r="C226" s="309" t="s">
        <v>173</v>
      </c>
      <c r="D226" s="278"/>
      <c r="E226" s="279"/>
      <c r="F226" s="279"/>
      <c r="G226" s="279"/>
      <c r="H226" s="117"/>
      <c r="I226" s="280"/>
      <c r="J226" s="8"/>
      <c r="K226" s="9"/>
      <c r="L226" s="286"/>
    </row>
    <row r="227" spans="1:12" ht="15.6" x14ac:dyDescent="0.3">
      <c r="A227" s="339"/>
      <c r="B227" s="154"/>
      <c r="C227" s="155" t="s">
        <v>84</v>
      </c>
      <c r="D227" s="156">
        <v>4</v>
      </c>
      <c r="E227" s="155">
        <v>1.5</v>
      </c>
      <c r="F227" s="155">
        <v>1.5</v>
      </c>
      <c r="G227" s="155"/>
      <c r="H227" s="331">
        <f>D227*IF(OR(E227=0,E227="-"),1,E227)*IF(OR(F227=0,F227="-"),1,F227)*IF(OR(G227=0,G227="-"),1,G227)</f>
        <v>9</v>
      </c>
      <c r="I227" s="157" t="s">
        <v>61</v>
      </c>
      <c r="J227" s="15"/>
      <c r="K227" s="16"/>
      <c r="L227" s="17"/>
    </row>
    <row r="228" spans="1:12" ht="15.6" x14ac:dyDescent="0.3">
      <c r="A228" s="339"/>
      <c r="B228" s="154"/>
      <c r="C228" s="155"/>
      <c r="D228" s="156">
        <v>8</v>
      </c>
      <c r="E228" s="155">
        <v>4</v>
      </c>
      <c r="F228" s="155">
        <v>4</v>
      </c>
      <c r="G228" s="155"/>
      <c r="H228" s="331">
        <f>D228*IF(OR(E228=0,E228="-"),1,E228)*IF(OR(F228=0,F228="-"),1,F228)*IF(OR(G228=0,G228="-"),1,G228)</f>
        <v>128</v>
      </c>
      <c r="I228" s="157" t="s">
        <v>61</v>
      </c>
      <c r="J228" s="15"/>
      <c r="K228" s="16"/>
      <c r="L228" s="17"/>
    </row>
    <row r="229" spans="1:12" ht="15.6" x14ac:dyDescent="0.3">
      <c r="A229" s="339"/>
      <c r="B229" s="154"/>
      <c r="C229" s="155"/>
      <c r="D229" s="156">
        <v>2</v>
      </c>
      <c r="E229" s="155">
        <v>1</v>
      </c>
      <c r="F229" s="155">
        <v>1</v>
      </c>
      <c r="G229" s="155"/>
      <c r="H229" s="331">
        <f>D229*IF(OR(E229=0,E229="-"),1,E229)*IF(OR(F229=0,F229="-"),1,F229)*IF(OR(G229=0,G229="-"),1,G229)</f>
        <v>2</v>
      </c>
      <c r="I229" s="157" t="s">
        <v>61</v>
      </c>
      <c r="J229" s="15"/>
      <c r="K229" s="16"/>
      <c r="L229" s="17"/>
    </row>
    <row r="230" spans="1:12" ht="15.6" x14ac:dyDescent="0.3">
      <c r="A230" s="340"/>
      <c r="B230" s="40"/>
      <c r="C230" s="52"/>
      <c r="D230" s="21"/>
      <c r="E230" s="21"/>
      <c r="F230" s="251" t="s">
        <v>62</v>
      </c>
      <c r="G230" s="251"/>
      <c r="H230" s="245">
        <f>SUM(H227:INDEX(H:H,ROW()-1))</f>
        <v>139</v>
      </c>
      <c r="I230" s="23" t="s">
        <v>61</v>
      </c>
      <c r="J230" s="24"/>
      <c r="K230" s="322">
        <f>0</f>
        <v>0</v>
      </c>
      <c r="L230" s="25"/>
    </row>
    <row r="231" spans="1:12" ht="31.2" x14ac:dyDescent="0.3">
      <c r="A231" s="341"/>
      <c r="B231" s="42"/>
      <c r="C231" s="53"/>
      <c r="D231" s="29"/>
      <c r="E231" s="248" t="s">
        <v>63</v>
      </c>
      <c r="F231" s="248"/>
      <c r="G231" s="248"/>
      <c r="H231" s="328">
        <f>ROUND(H230*0.0929,3)</f>
        <v>12.913</v>
      </c>
      <c r="I231" s="30" t="s">
        <v>64</v>
      </c>
      <c r="J231" s="24" t="s">
        <v>22</v>
      </c>
      <c r="K231" s="323">
        <f>IF(B226="12.33.1",IF(J231="Labour Rate",134,IF(J231="Material Rate",868,IF(J231="Through Rate",1001,0))),"")</f>
        <v>134</v>
      </c>
      <c r="L231" s="319">
        <f>IF(H231*K231&lt;&gt;0,H231*K231,0)</f>
        <v>1730.3420000000001</v>
      </c>
    </row>
    <row r="232" spans="1:12" ht="13.95" customHeight="1" x14ac:dyDescent="0.3">
      <c r="A232" s="342"/>
      <c r="B232" s="32"/>
      <c r="C232" s="33"/>
      <c r="D232" s="34"/>
      <c r="E232" s="34"/>
      <c r="F232" s="35"/>
      <c r="G232" s="34"/>
      <c r="H232" s="7"/>
      <c r="I232" s="36"/>
      <c r="J232" s="8"/>
      <c r="K232" s="9"/>
      <c r="L232" s="37"/>
    </row>
    <row r="233" spans="1:12" s="273" customFormat="1" ht="79.2" x14ac:dyDescent="0.3">
      <c r="A233" s="343">
        <f>IFERROR(LOOKUP(2,1/(ISNUMBER($A$2:$A$232)),$A$2:$A$232),0)+1</f>
        <v>24</v>
      </c>
      <c r="B233" s="268" t="s">
        <v>90</v>
      </c>
      <c r="C233" s="309" t="s">
        <v>172</v>
      </c>
      <c r="D233" s="278"/>
      <c r="E233" s="279"/>
      <c r="F233" s="279"/>
      <c r="G233" s="279"/>
      <c r="H233" s="117"/>
      <c r="I233" s="280"/>
      <c r="J233" s="8"/>
      <c r="K233" s="9"/>
      <c r="L233" s="286"/>
    </row>
    <row r="234" spans="1:12" ht="15.6" x14ac:dyDescent="0.3">
      <c r="A234" s="339"/>
      <c r="B234" s="154"/>
      <c r="C234" s="155" t="s">
        <v>91</v>
      </c>
      <c r="D234" s="156">
        <v>1</v>
      </c>
      <c r="E234" s="155">
        <v>3.75</v>
      </c>
      <c r="F234" s="155"/>
      <c r="G234" s="155">
        <v>6.75</v>
      </c>
      <c r="H234" s="331">
        <f>D234*IF(OR(E234=0,E234="-"),1,E234)*IF(OR(F234=0,F234="-"),1,F234)*IF(OR(G234=0,G234="-"),1,G234)</f>
        <v>25.3125</v>
      </c>
      <c r="I234" s="157" t="s">
        <v>61</v>
      </c>
      <c r="J234" s="15"/>
      <c r="K234" s="16"/>
      <c r="L234" s="17"/>
    </row>
    <row r="235" spans="1:12" ht="15.6" x14ac:dyDescent="0.3">
      <c r="A235" s="339"/>
      <c r="B235" s="154"/>
      <c r="C235" s="155" t="s">
        <v>16</v>
      </c>
      <c r="D235" s="156">
        <v>1</v>
      </c>
      <c r="E235" s="155">
        <v>3.5</v>
      </c>
      <c r="F235" s="155"/>
      <c r="G235" s="155">
        <v>7</v>
      </c>
      <c r="H235" s="331">
        <f>D235*IF(OR(E235=0,E235="-"),1,E235)*IF(OR(F235=0,F235="-"),1,F235)*IF(OR(G235=0,G235="-"),1,G235)</f>
        <v>24.5</v>
      </c>
      <c r="I235" s="157" t="s">
        <v>61</v>
      </c>
      <c r="J235" s="15"/>
      <c r="K235" s="16"/>
      <c r="L235" s="17"/>
    </row>
    <row r="236" spans="1:12" ht="15.6" x14ac:dyDescent="0.3">
      <c r="A236" s="340"/>
      <c r="B236" s="40"/>
      <c r="C236" s="52"/>
      <c r="D236" s="21"/>
      <c r="E236" s="21"/>
      <c r="F236" s="251" t="s">
        <v>62</v>
      </c>
      <c r="G236" s="251"/>
      <c r="H236" s="245">
        <f>SUM(H234:INDEX(H:H,ROW()-1))</f>
        <v>49.8125</v>
      </c>
      <c r="I236" s="23" t="s">
        <v>61</v>
      </c>
      <c r="J236" s="24"/>
      <c r="K236" s="322">
        <f>0</f>
        <v>0</v>
      </c>
      <c r="L236" s="25"/>
    </row>
    <row r="237" spans="1:12" ht="31.2" x14ac:dyDescent="0.3">
      <c r="A237" s="341"/>
      <c r="B237" s="42"/>
      <c r="C237" s="53"/>
      <c r="D237" s="29"/>
      <c r="E237" s="248" t="s">
        <v>63</v>
      </c>
      <c r="F237" s="248"/>
      <c r="G237" s="248"/>
      <c r="H237" s="328">
        <f>ROUND(H236*0.0929,3)</f>
        <v>4.6280000000000001</v>
      </c>
      <c r="I237" s="30" t="s">
        <v>64</v>
      </c>
      <c r="J237" s="24" t="s">
        <v>22</v>
      </c>
      <c r="K237" s="323">
        <f>IF(B233="13.6.1",IF(J237="Labour Rate",924,IF(J237="Material Rate",1814,IF(J237="Through Rate",2738,0))),"")</f>
        <v>924</v>
      </c>
      <c r="L237" s="319">
        <f>IF(H237*K237&lt;&gt;0,H237*K237,0)</f>
        <v>4276.2719999999999</v>
      </c>
    </row>
    <row r="238" spans="1:12" ht="13.95" customHeight="1" x14ac:dyDescent="0.3">
      <c r="A238" s="342"/>
      <c r="B238" s="32"/>
      <c r="C238" s="33"/>
      <c r="D238" s="34"/>
      <c r="E238" s="34"/>
      <c r="F238" s="35"/>
      <c r="G238" s="34"/>
      <c r="H238" s="7"/>
      <c r="I238" s="36"/>
      <c r="J238" s="8"/>
      <c r="K238" s="9"/>
      <c r="L238" s="37"/>
    </row>
    <row r="239" spans="1:12" s="273" customFormat="1" ht="93" x14ac:dyDescent="0.3">
      <c r="A239" s="343">
        <f>IFERROR(LOOKUP(2,1/(ISNUMBER($A$2:$A$238)),$A$2:$A$238),0)+1</f>
        <v>25</v>
      </c>
      <c r="B239" s="268" t="s">
        <v>92</v>
      </c>
      <c r="C239" s="308" t="s">
        <v>171</v>
      </c>
      <c r="D239" s="282"/>
      <c r="E239" s="283"/>
      <c r="F239" s="284"/>
      <c r="G239" s="283"/>
      <c r="H239" s="7"/>
      <c r="I239" s="285"/>
      <c r="J239" s="8"/>
      <c r="K239" s="9"/>
      <c r="L239" s="286"/>
    </row>
    <row r="240" spans="1:12" ht="15.6" x14ac:dyDescent="0.3">
      <c r="A240" s="339"/>
      <c r="B240" s="158"/>
      <c r="C240" s="159" t="s">
        <v>93</v>
      </c>
      <c r="D240" s="12">
        <v>6</v>
      </c>
      <c r="E240" s="12">
        <v>1</v>
      </c>
      <c r="F240" s="13"/>
      <c r="G240" s="12"/>
      <c r="H240" s="246">
        <f>D240*IF(OR(E240=0,E240="-"),1,E240)*IF(OR(F240=0,F240="-"),1,F240)*IF(OR(G240=0,G240="-"),1,G240)</f>
        <v>6</v>
      </c>
      <c r="I240" s="14" t="s">
        <v>94</v>
      </c>
      <c r="J240" s="15"/>
      <c r="K240" s="16"/>
      <c r="L240" s="17"/>
    </row>
    <row r="241" spans="1:12" ht="15.6" x14ac:dyDescent="0.3">
      <c r="A241" s="340"/>
      <c r="B241" s="22"/>
      <c r="C241" s="160"/>
      <c r="D241" s="21"/>
      <c r="E241" s="21"/>
      <c r="F241" s="251" t="s">
        <v>95</v>
      </c>
      <c r="G241" s="251"/>
      <c r="H241" s="245">
        <f>SUM(H240:INDEX(H:H,ROW()-1))</f>
        <v>6</v>
      </c>
      <c r="I241" s="23" t="s">
        <v>94</v>
      </c>
      <c r="J241" s="24"/>
      <c r="K241" s="322">
        <f>0</f>
        <v>0</v>
      </c>
      <c r="L241" s="25"/>
    </row>
    <row r="242" spans="1:12" ht="31.2" x14ac:dyDescent="0.3">
      <c r="A242" s="341"/>
      <c r="B242" s="161"/>
      <c r="C242" s="162"/>
      <c r="D242" s="29"/>
      <c r="E242" s="248" t="s">
        <v>95</v>
      </c>
      <c r="F242" s="248"/>
      <c r="G242" s="248"/>
      <c r="H242" s="328">
        <f>ROUND(H241*1,3)</f>
        <v>6</v>
      </c>
      <c r="I242" s="30" t="s">
        <v>96</v>
      </c>
      <c r="J242" s="24" t="s">
        <v>22</v>
      </c>
      <c r="K242" s="323">
        <f>IF(B239="12.98.2",IF(J242="Labour Rate",21,IF(J242="Material Rate",157,IF(J242="Through Rate",179,0))),"")</f>
        <v>21</v>
      </c>
      <c r="L242" s="319">
        <f>IF(H242*K242&lt;&gt;0,H242*K242,0)</f>
        <v>126</v>
      </c>
    </row>
    <row r="243" spans="1:12" ht="13.95" customHeight="1" x14ac:dyDescent="0.3">
      <c r="A243" s="342"/>
      <c r="B243" s="163"/>
      <c r="C243" s="164"/>
      <c r="D243" s="34"/>
      <c r="E243" s="34"/>
      <c r="F243" s="35"/>
      <c r="G243" s="34"/>
      <c r="H243" s="7"/>
      <c r="I243" s="36"/>
      <c r="J243" s="8"/>
      <c r="K243" s="9"/>
      <c r="L243" s="37"/>
    </row>
    <row r="244" spans="1:12" s="273" customFormat="1" ht="93" x14ac:dyDescent="0.3">
      <c r="A244" s="343">
        <f>IFERROR(LOOKUP(2,1/(ISNUMBER($A$2:$A$243)),$A$2:$A$243),0)+1</f>
        <v>26</v>
      </c>
      <c r="B244" s="268" t="s">
        <v>97</v>
      </c>
      <c r="C244" s="310" t="s">
        <v>170</v>
      </c>
      <c r="D244" s="282"/>
      <c r="E244" s="283"/>
      <c r="F244" s="284"/>
      <c r="G244" s="283"/>
      <c r="H244" s="7"/>
      <c r="I244" s="285"/>
      <c r="J244" s="8"/>
      <c r="K244" s="9"/>
      <c r="L244" s="286"/>
    </row>
    <row r="245" spans="1:12" ht="15.6" x14ac:dyDescent="0.3">
      <c r="A245" s="339"/>
      <c r="B245" s="158"/>
      <c r="C245" s="159"/>
      <c r="D245" s="12">
        <f>2+42</f>
        <v>44</v>
      </c>
      <c r="E245" s="12">
        <v>1</v>
      </c>
      <c r="F245" s="13"/>
      <c r="G245" s="12"/>
      <c r="H245" s="246">
        <f>D245*IF(OR(E245=0,E245="-"),1,E245)*IF(OR(F245=0,F245="-"),1,F245)*IF(OR(G245=0,G245="-"),1,G245)</f>
        <v>44</v>
      </c>
      <c r="I245" s="14" t="s">
        <v>94</v>
      </c>
      <c r="J245" s="15"/>
      <c r="K245" s="16"/>
      <c r="L245" s="17"/>
    </row>
    <row r="246" spans="1:12" ht="15.6" x14ac:dyDescent="0.3">
      <c r="A246" s="340"/>
      <c r="B246" s="22"/>
      <c r="C246" s="160"/>
      <c r="D246" s="21"/>
      <c r="E246" s="21"/>
      <c r="F246" s="251" t="s">
        <v>95</v>
      </c>
      <c r="G246" s="251"/>
      <c r="H246" s="245">
        <f>SUM(H245:INDEX(H:H,ROW()-1))</f>
        <v>44</v>
      </c>
      <c r="I246" s="23" t="s">
        <v>94</v>
      </c>
      <c r="J246" s="24"/>
      <c r="K246" s="322">
        <f>0</f>
        <v>0</v>
      </c>
      <c r="L246" s="25"/>
    </row>
    <row r="247" spans="1:12" ht="31.2" x14ac:dyDescent="0.3">
      <c r="A247" s="341"/>
      <c r="B247" s="161"/>
      <c r="C247" s="162"/>
      <c r="D247" s="29"/>
      <c r="E247" s="248" t="s">
        <v>95</v>
      </c>
      <c r="F247" s="248"/>
      <c r="G247" s="248"/>
      <c r="H247" s="328">
        <f>ROUND(H246*1,3)</f>
        <v>44</v>
      </c>
      <c r="I247" s="30" t="s">
        <v>96</v>
      </c>
      <c r="J247" s="24" t="s">
        <v>22</v>
      </c>
      <c r="K247" s="323">
        <f>IF(B244="12.99.4",IF(J247="Labour Rate",4,IF(J247="Material Rate",58,IF(J247="Through Rate",62,0))),"")</f>
        <v>4</v>
      </c>
      <c r="L247" s="319">
        <f>IF(H247*K247&lt;&gt;0,H247*K247,0)</f>
        <v>176</v>
      </c>
    </row>
    <row r="248" spans="1:12" ht="13.95" customHeight="1" x14ac:dyDescent="0.3">
      <c r="A248" s="342"/>
      <c r="B248" s="163"/>
      <c r="C248" s="164"/>
      <c r="D248" s="34"/>
      <c r="E248" s="34"/>
      <c r="F248" s="35"/>
      <c r="G248" s="34"/>
      <c r="H248" s="7"/>
      <c r="I248" s="36"/>
      <c r="J248" s="8"/>
      <c r="K248" s="9"/>
      <c r="L248" s="37"/>
    </row>
    <row r="249" spans="1:12" s="273" customFormat="1" ht="93" x14ac:dyDescent="0.3">
      <c r="A249" s="343">
        <f>IFERROR(LOOKUP(2,1/(ISNUMBER($A$2:$A$248)),$A$2:$A$248),0)+1</f>
        <v>27</v>
      </c>
      <c r="B249" s="268" t="s">
        <v>98</v>
      </c>
      <c r="C249" s="310" t="s">
        <v>169</v>
      </c>
      <c r="D249" s="282"/>
      <c r="E249" s="283"/>
      <c r="F249" s="284"/>
      <c r="G249" s="283"/>
      <c r="H249" s="7"/>
      <c r="I249" s="285"/>
      <c r="J249" s="8"/>
      <c r="K249" s="9"/>
      <c r="L249" s="286"/>
    </row>
    <row r="250" spans="1:12" ht="15.6" x14ac:dyDescent="0.3">
      <c r="A250" s="339"/>
      <c r="B250" s="158"/>
      <c r="C250" s="159" t="s">
        <v>48</v>
      </c>
      <c r="D250" s="12">
        <v>4</v>
      </c>
      <c r="E250" s="12">
        <v>1</v>
      </c>
      <c r="F250" s="13"/>
      <c r="G250" s="12"/>
      <c r="H250" s="246">
        <f>D250*IF(OR(E250=0,E250="-"),1,E250)*IF(OR(F250=0,F250="-"),1,F250)*IF(OR(G250=0,G250="-"),1,G250)</f>
        <v>4</v>
      </c>
      <c r="I250" s="14" t="s">
        <v>94</v>
      </c>
      <c r="J250" s="15"/>
      <c r="K250" s="16"/>
      <c r="L250" s="17"/>
    </row>
    <row r="251" spans="1:12" ht="15.6" x14ac:dyDescent="0.3">
      <c r="A251" s="339"/>
      <c r="B251" s="158"/>
      <c r="C251" s="159" t="s">
        <v>84</v>
      </c>
      <c r="D251" s="12">
        <f>38+6</f>
        <v>44</v>
      </c>
      <c r="E251" s="12">
        <v>1</v>
      </c>
      <c r="F251" s="13"/>
      <c r="G251" s="12"/>
      <c r="H251" s="246">
        <f>D251*IF(OR(E251=0,E251="-"),1,E251)*IF(OR(F251=0,F251="-"),1,F251)*IF(OR(G251=0,G251="-"),1,G251)</f>
        <v>44</v>
      </c>
      <c r="I251" s="14" t="s">
        <v>94</v>
      </c>
      <c r="J251" s="15"/>
      <c r="K251" s="16"/>
      <c r="L251" s="17"/>
    </row>
    <row r="252" spans="1:12" ht="15.6" x14ac:dyDescent="0.3">
      <c r="A252" s="340"/>
      <c r="B252" s="22"/>
      <c r="C252" s="160"/>
      <c r="D252" s="21"/>
      <c r="E252" s="21"/>
      <c r="F252" s="251" t="s">
        <v>95</v>
      </c>
      <c r="G252" s="251"/>
      <c r="H252" s="245">
        <f>SUM(H250:INDEX(H:H,ROW()-1))</f>
        <v>48</v>
      </c>
      <c r="I252" s="23" t="s">
        <v>94</v>
      </c>
      <c r="J252" s="24"/>
      <c r="K252" s="322">
        <f>0</f>
        <v>0</v>
      </c>
      <c r="L252" s="25"/>
    </row>
    <row r="253" spans="1:12" ht="31.2" x14ac:dyDescent="0.3">
      <c r="A253" s="341"/>
      <c r="B253" s="161"/>
      <c r="C253" s="162"/>
      <c r="D253" s="29"/>
      <c r="E253" s="248" t="s">
        <v>95</v>
      </c>
      <c r="F253" s="248"/>
      <c r="G253" s="248"/>
      <c r="H253" s="328">
        <f>ROUND(H252*1,3)</f>
        <v>48</v>
      </c>
      <c r="I253" s="30" t="s">
        <v>96</v>
      </c>
      <c r="J253" s="24" t="s">
        <v>22</v>
      </c>
      <c r="K253" s="323">
        <f>IF(B249="12.102.1",IF(J253="Labour Rate",3,IF(J253="Material Rate",46,IF(J253="Through Rate",49,0))),"")</f>
        <v>3</v>
      </c>
      <c r="L253" s="319">
        <f>IF(H253*K253&lt;&gt;0,H253*K253,0)</f>
        <v>144</v>
      </c>
    </row>
    <row r="254" spans="1:12" ht="13.95" customHeight="1" x14ac:dyDescent="0.3">
      <c r="A254" s="342"/>
      <c r="B254" s="163"/>
      <c r="C254" s="164"/>
      <c r="D254" s="34"/>
      <c r="E254" s="34"/>
      <c r="F254" s="35"/>
      <c r="G254" s="34"/>
      <c r="H254" s="7"/>
      <c r="I254" s="36"/>
      <c r="J254" s="8"/>
      <c r="K254" s="9"/>
      <c r="L254" s="37"/>
    </row>
    <row r="255" spans="1:12" s="273" customFormat="1" ht="65.400000000000006" x14ac:dyDescent="0.3">
      <c r="A255" s="343">
        <f>IFERROR(LOOKUP(2,1/(ISNUMBER($A$2:$A$254)),$A$2:$A$254),0)+1</f>
        <v>28</v>
      </c>
      <c r="B255" s="275" t="s">
        <v>99</v>
      </c>
      <c r="C255" s="308" t="s">
        <v>168</v>
      </c>
      <c r="D255" s="282"/>
      <c r="E255" s="283"/>
      <c r="F255" s="284"/>
      <c r="G255" s="283"/>
      <c r="H255" s="7"/>
      <c r="I255" s="285"/>
      <c r="J255" s="8"/>
      <c r="K255" s="9"/>
      <c r="L255" s="286"/>
    </row>
    <row r="256" spans="1:12" ht="15.6" x14ac:dyDescent="0.3">
      <c r="A256" s="339"/>
      <c r="B256" s="6"/>
      <c r="C256" s="165"/>
      <c r="D256" s="12">
        <v>6</v>
      </c>
      <c r="E256" s="12">
        <v>1</v>
      </c>
      <c r="F256" s="13"/>
      <c r="G256" s="12"/>
      <c r="H256" s="246">
        <f>D256*IF(OR(E256=0,E256="-"),1,E256)*IF(OR(F256=0,F256="-"),1,F256)*IF(OR(G256=0,G256="-"),1,G256)</f>
        <v>6</v>
      </c>
      <c r="I256" s="30" t="s">
        <v>96</v>
      </c>
      <c r="J256" s="15"/>
      <c r="K256" s="16"/>
      <c r="L256" s="17"/>
    </row>
    <row r="257" spans="1:12" ht="15.6" x14ac:dyDescent="0.3">
      <c r="A257" s="340"/>
      <c r="B257" s="40"/>
      <c r="C257" s="52"/>
      <c r="D257" s="21"/>
      <c r="E257" s="21"/>
      <c r="F257" s="251" t="s">
        <v>100</v>
      </c>
      <c r="G257" s="251"/>
      <c r="H257" s="245">
        <f>SUM(H256:INDEX(H:H,ROW()-1))</f>
        <v>6</v>
      </c>
      <c r="I257" s="23" t="s">
        <v>96</v>
      </c>
      <c r="J257" s="24"/>
      <c r="K257" s="322">
        <f>0</f>
        <v>0</v>
      </c>
      <c r="L257" s="25"/>
    </row>
    <row r="258" spans="1:12" ht="31.2" x14ac:dyDescent="0.3">
      <c r="A258" s="341"/>
      <c r="B258" s="42"/>
      <c r="C258" s="53"/>
      <c r="D258" s="29"/>
      <c r="E258" s="248" t="s">
        <v>100</v>
      </c>
      <c r="F258" s="248"/>
      <c r="G258" s="248"/>
      <c r="H258" s="328">
        <f>ROUND(H257*1,3)</f>
        <v>6</v>
      </c>
      <c r="I258" s="30" t="s">
        <v>96</v>
      </c>
      <c r="J258" s="24" t="s">
        <v>22</v>
      </c>
      <c r="K258" s="323">
        <f>IF(B255="12.73.1",IF(J258="Labour Rate",10,IF(J258="Material Rate",56,IF(J258="Through Rate",66,0))),"")</f>
        <v>10</v>
      </c>
      <c r="L258" s="319">
        <f>IF(H258*K258&lt;&gt;0,H258*K258,0)</f>
        <v>60</v>
      </c>
    </row>
    <row r="259" spans="1:12" ht="13.95" customHeight="1" x14ac:dyDescent="0.3">
      <c r="A259" s="342"/>
      <c r="B259" s="32"/>
      <c r="C259" s="33"/>
      <c r="D259" s="34"/>
      <c r="E259" s="34"/>
      <c r="F259" s="35"/>
      <c r="G259" s="34"/>
      <c r="H259" s="7"/>
      <c r="I259" s="36"/>
      <c r="J259" s="8"/>
      <c r="K259" s="9"/>
      <c r="L259" s="37"/>
    </row>
    <row r="260" spans="1:12" s="273" customFormat="1" ht="65.400000000000006" x14ac:dyDescent="0.3">
      <c r="A260" s="343">
        <f>IFERROR(LOOKUP(2,1/(ISNUMBER($A$2:$A$259)),$A$2:$A$259),0)+1</f>
        <v>29</v>
      </c>
      <c r="B260" s="275" t="s">
        <v>101</v>
      </c>
      <c r="C260" s="308" t="s">
        <v>167</v>
      </c>
      <c r="D260" s="282"/>
      <c r="E260" s="283"/>
      <c r="F260" s="284"/>
      <c r="G260" s="283"/>
      <c r="H260" s="7"/>
      <c r="I260" s="285"/>
      <c r="J260" s="8"/>
      <c r="K260" s="9"/>
      <c r="L260" s="286"/>
    </row>
    <row r="261" spans="1:12" ht="15.6" x14ac:dyDescent="0.3">
      <c r="A261" s="339"/>
      <c r="B261" s="6"/>
      <c r="C261" s="165"/>
      <c r="D261" s="12">
        <v>34</v>
      </c>
      <c r="E261" s="12">
        <v>1</v>
      </c>
      <c r="F261" s="13"/>
      <c r="G261" s="12"/>
      <c r="H261" s="246">
        <f>D261*IF(OR(E261=0,E261="-"),1,E261)*IF(OR(F261=0,F261="-"),1,F261)*IF(OR(G261=0,G261="-"),1,G261)</f>
        <v>34</v>
      </c>
      <c r="I261" s="30" t="s">
        <v>96</v>
      </c>
      <c r="J261" s="15"/>
      <c r="K261" s="16"/>
      <c r="L261" s="17"/>
    </row>
    <row r="262" spans="1:12" ht="15.6" x14ac:dyDescent="0.3">
      <c r="A262" s="340"/>
      <c r="B262" s="40"/>
      <c r="C262" s="52"/>
      <c r="D262" s="21"/>
      <c r="E262" s="21"/>
      <c r="F262" s="251" t="s">
        <v>100</v>
      </c>
      <c r="G262" s="251"/>
      <c r="H262" s="245">
        <f>SUM(H261:INDEX(H:H,ROW()-1))</f>
        <v>34</v>
      </c>
      <c r="I262" s="23" t="s">
        <v>96</v>
      </c>
      <c r="J262" s="24"/>
      <c r="K262" s="322">
        <f>0</f>
        <v>0</v>
      </c>
      <c r="L262" s="25"/>
    </row>
    <row r="263" spans="1:12" ht="31.2" x14ac:dyDescent="0.3">
      <c r="A263" s="341"/>
      <c r="B263" s="42"/>
      <c r="C263" s="53"/>
      <c r="D263" s="29"/>
      <c r="E263" s="248" t="s">
        <v>100</v>
      </c>
      <c r="F263" s="248"/>
      <c r="G263" s="248"/>
      <c r="H263" s="328">
        <f>ROUND(H262*1,3)</f>
        <v>34</v>
      </c>
      <c r="I263" s="30" t="s">
        <v>96</v>
      </c>
      <c r="J263" s="24" t="s">
        <v>22</v>
      </c>
      <c r="K263" s="323">
        <f>IF(B260="12.73.2",IF(J263="Labour Rate",10,IF(J263="Material Rate",46,IF(J263="Through Rate",54,0))),"")</f>
        <v>10</v>
      </c>
      <c r="L263" s="319">
        <f>IF(H263*K263&lt;&gt;0,H263*K263,0)</f>
        <v>340</v>
      </c>
    </row>
    <row r="264" spans="1:12" ht="13.95" customHeight="1" x14ac:dyDescent="0.3">
      <c r="A264" s="342"/>
      <c r="B264" s="32"/>
      <c r="C264" s="33"/>
      <c r="D264" s="34"/>
      <c r="E264" s="34"/>
      <c r="F264" s="35"/>
      <c r="G264" s="34"/>
      <c r="H264" s="7"/>
      <c r="I264" s="36"/>
      <c r="J264" s="8"/>
      <c r="K264" s="9"/>
      <c r="L264" s="37"/>
    </row>
    <row r="265" spans="1:12" s="273" customFormat="1" ht="65.400000000000006" x14ac:dyDescent="0.3">
      <c r="A265" s="343">
        <f>IFERROR(LOOKUP(2,1/(ISNUMBER($A$2:$A$264)),$A$2:$A$264),0)+1</f>
        <v>30</v>
      </c>
      <c r="B265" s="275" t="s">
        <v>102</v>
      </c>
      <c r="C265" s="308" t="s">
        <v>166</v>
      </c>
      <c r="D265" s="282"/>
      <c r="E265" s="283"/>
      <c r="F265" s="284"/>
      <c r="G265" s="283"/>
      <c r="H265" s="7"/>
      <c r="I265" s="285"/>
      <c r="J265" s="8"/>
      <c r="K265" s="9"/>
      <c r="L265" s="286"/>
    </row>
    <row r="266" spans="1:12" ht="15.6" x14ac:dyDescent="0.3">
      <c r="A266" s="339"/>
      <c r="B266" s="6"/>
      <c r="C266" s="165"/>
      <c r="D266" s="12">
        <v>1</v>
      </c>
      <c r="E266" s="12">
        <v>8</v>
      </c>
      <c r="F266" s="13"/>
      <c r="G266" s="12"/>
      <c r="H266" s="246">
        <f>D266*IF(OR(E266=0,E266="-"),1,E266)*IF(OR(F266=0,F266="-"),1,F266)*IF(OR(G266=0,G266="-"),1,G266)</f>
        <v>8</v>
      </c>
      <c r="I266" s="30" t="s">
        <v>96</v>
      </c>
      <c r="J266" s="15"/>
      <c r="K266" s="16"/>
      <c r="L266" s="17"/>
    </row>
    <row r="267" spans="1:12" ht="15.6" x14ac:dyDescent="0.3">
      <c r="A267" s="340"/>
      <c r="B267" s="40"/>
      <c r="C267" s="52"/>
      <c r="D267" s="21"/>
      <c r="E267" s="21"/>
      <c r="F267" s="251" t="s">
        <v>100</v>
      </c>
      <c r="G267" s="251"/>
      <c r="H267" s="245">
        <f>SUM(H266:INDEX(H:H,ROW()-1))</f>
        <v>8</v>
      </c>
      <c r="I267" s="23" t="s">
        <v>96</v>
      </c>
      <c r="J267" s="24"/>
      <c r="K267" s="322">
        <f>0</f>
        <v>0</v>
      </c>
      <c r="L267" s="25"/>
    </row>
    <row r="268" spans="1:12" ht="31.2" x14ac:dyDescent="0.3">
      <c r="A268" s="341"/>
      <c r="B268" s="42"/>
      <c r="C268" s="53"/>
      <c r="D268" s="29"/>
      <c r="E268" s="248" t="s">
        <v>100</v>
      </c>
      <c r="F268" s="248"/>
      <c r="G268" s="248"/>
      <c r="H268" s="328">
        <f>ROUND(H267*1,3)</f>
        <v>8</v>
      </c>
      <c r="I268" s="30" t="s">
        <v>96</v>
      </c>
      <c r="J268" s="24" t="s">
        <v>22</v>
      </c>
      <c r="K268" s="323">
        <f>IF(B265="12.73.3",IF(J268="Labour Rate",10,IF(J268="Material Rate",29,IF(J268="Through Rate",38,0))),"")</f>
        <v>10</v>
      </c>
      <c r="L268" s="319">
        <f>IF(H268*K268&lt;&gt;0,H268*K268,0)</f>
        <v>80</v>
      </c>
    </row>
    <row r="269" spans="1:12" ht="13.95" customHeight="1" x14ac:dyDescent="0.3">
      <c r="A269" s="342"/>
      <c r="B269" s="32"/>
      <c r="C269" s="33"/>
      <c r="D269" s="34"/>
      <c r="E269" s="34"/>
      <c r="F269" s="35"/>
      <c r="G269" s="34"/>
      <c r="H269" s="7"/>
      <c r="I269" s="36"/>
      <c r="J269" s="8"/>
      <c r="K269" s="9"/>
      <c r="L269" s="37"/>
    </row>
    <row r="270" spans="1:12" s="273" customFormat="1" ht="69" x14ac:dyDescent="0.3">
      <c r="A270" s="343">
        <f>IFERROR(LOOKUP(2,1/(ISNUMBER($A$2:$A$269)),$A$2:$A$269),0)+1</f>
        <v>31</v>
      </c>
      <c r="B270" s="268" t="s">
        <v>103</v>
      </c>
      <c r="C270" s="309" t="s">
        <v>165</v>
      </c>
      <c r="D270" s="278"/>
      <c r="E270" s="279"/>
      <c r="F270" s="279"/>
      <c r="G270" s="279"/>
      <c r="H270" s="117"/>
      <c r="I270" s="280"/>
      <c r="J270" s="8"/>
      <c r="K270" s="9"/>
      <c r="L270" s="286"/>
    </row>
    <row r="271" spans="1:12" ht="15.6" x14ac:dyDescent="0.3">
      <c r="A271" s="339"/>
      <c r="B271" s="154"/>
      <c r="C271" s="155" t="s">
        <v>104</v>
      </c>
      <c r="D271" s="156">
        <f>2*1.2*4</f>
        <v>9.6</v>
      </c>
      <c r="E271" s="155">
        <v>1.5</v>
      </c>
      <c r="F271" s="155">
        <v>1.5</v>
      </c>
      <c r="G271" s="155"/>
      <c r="H271" s="331">
        <f>D271*IF(OR(E271=0,E271="-"),1,E271)*IF(OR(F271=0,F271="-"),1,F271)*IF(OR(G271=0,G271="-"),1,G271)</f>
        <v>21.599999999999998</v>
      </c>
      <c r="I271" s="157" t="s">
        <v>61</v>
      </c>
      <c r="J271" s="15"/>
      <c r="K271" s="16"/>
      <c r="L271" s="17"/>
    </row>
    <row r="272" spans="1:12" ht="15.6" x14ac:dyDescent="0.3">
      <c r="A272" s="339"/>
      <c r="B272" s="154"/>
      <c r="C272" s="155" t="s">
        <v>105</v>
      </c>
      <c r="D272" s="156">
        <f>2*1.2*8</f>
        <v>19.2</v>
      </c>
      <c r="E272" s="155">
        <v>4</v>
      </c>
      <c r="F272" s="155">
        <v>4</v>
      </c>
      <c r="G272" s="155"/>
      <c r="H272" s="331">
        <f>D272*IF(OR(E272=0,E272="-"),1,E272)*IF(OR(F272=0,F272="-"),1,F272)*IF(OR(G272=0,G272="-"),1,G272)</f>
        <v>307.2</v>
      </c>
      <c r="I272" s="157" t="s">
        <v>61</v>
      </c>
      <c r="J272" s="15"/>
      <c r="K272" s="16"/>
      <c r="L272" s="17"/>
    </row>
    <row r="273" spans="1:12" ht="15.6" x14ac:dyDescent="0.3">
      <c r="A273" s="340"/>
      <c r="B273" s="40"/>
      <c r="C273" s="52"/>
      <c r="D273" s="21"/>
      <c r="E273" s="21"/>
      <c r="F273" s="251" t="s">
        <v>62</v>
      </c>
      <c r="G273" s="251"/>
      <c r="H273" s="245">
        <f>SUM(H271:INDEX(H:H,ROW()-1))</f>
        <v>328.8</v>
      </c>
      <c r="I273" s="23" t="s">
        <v>61</v>
      </c>
      <c r="J273" s="24"/>
      <c r="K273" s="322">
        <f>0</f>
        <v>0</v>
      </c>
      <c r="L273" s="25"/>
    </row>
    <row r="274" spans="1:12" ht="31.2" x14ac:dyDescent="0.3">
      <c r="A274" s="341"/>
      <c r="B274" s="42"/>
      <c r="C274" s="53"/>
      <c r="D274" s="29"/>
      <c r="E274" s="248" t="s">
        <v>63</v>
      </c>
      <c r="F274" s="248"/>
      <c r="G274" s="248"/>
      <c r="H274" s="328">
        <f>ROUND(H273*0.0929,3)</f>
        <v>30.545999999999999</v>
      </c>
      <c r="I274" s="30" t="s">
        <v>64</v>
      </c>
      <c r="J274" s="24" t="s">
        <v>22</v>
      </c>
      <c r="K274" s="323">
        <f>IF(B270="11.76",IF(J274="Labour Rate",15,IF(J274="Material Rate",21,IF(J274="Through Rate",37,0))),"")</f>
        <v>15</v>
      </c>
      <c r="L274" s="319">
        <f>IF(H274*K274&lt;&gt;0,H274*K274,0)</f>
        <v>458.19</v>
      </c>
    </row>
    <row r="275" spans="1:12" ht="13.95" customHeight="1" x14ac:dyDescent="0.3">
      <c r="A275" s="342"/>
      <c r="B275" s="32"/>
      <c r="C275" s="33"/>
      <c r="D275" s="34"/>
      <c r="E275" s="34"/>
      <c r="F275" s="35"/>
      <c r="G275" s="34"/>
      <c r="H275" s="7"/>
      <c r="I275" s="36"/>
      <c r="J275" s="8"/>
      <c r="K275" s="9"/>
      <c r="L275" s="37"/>
    </row>
    <row r="276" spans="1:12" s="273" customFormat="1" ht="49.8" x14ac:dyDescent="0.3">
      <c r="A276" s="343">
        <f>IFERROR(LOOKUP(2,1/(ISNUMBER($A$2:$A$275)),$A$2:$A$275),0)+1</f>
        <v>32</v>
      </c>
      <c r="B276" s="275" t="s">
        <v>106</v>
      </c>
      <c r="C276" s="308" t="s">
        <v>164</v>
      </c>
      <c r="D276" s="282"/>
      <c r="E276" s="283"/>
      <c r="F276" s="284"/>
      <c r="G276" s="283"/>
      <c r="H276" s="7"/>
      <c r="I276" s="285"/>
      <c r="J276" s="8"/>
      <c r="K276" s="9"/>
      <c r="L276" s="286"/>
    </row>
    <row r="277" spans="1:12" ht="15.6" x14ac:dyDescent="0.3">
      <c r="A277" s="339"/>
      <c r="B277" s="6"/>
      <c r="C277" s="165" t="s">
        <v>78</v>
      </c>
      <c r="D277" s="12">
        <f>28*2*0.8</f>
        <v>44.800000000000004</v>
      </c>
      <c r="E277" s="12">
        <v>10</v>
      </c>
      <c r="F277" s="13">
        <v>2</v>
      </c>
      <c r="G277" s="12"/>
      <c r="H277" s="246">
        <f>D277*IF(OR(E277=0,E277="-"),1,E277)*IF(OR(F277=0,F277="-"),1,F277)*IF(OR(G277=0,G277="-"),1,G277)</f>
        <v>896.00000000000011</v>
      </c>
      <c r="I277" s="14" t="s">
        <v>61</v>
      </c>
      <c r="J277" s="15"/>
      <c r="K277" s="16"/>
      <c r="L277" s="17"/>
    </row>
    <row r="278" spans="1:12" ht="15.6" x14ac:dyDescent="0.3">
      <c r="A278" s="339"/>
      <c r="B278" s="6"/>
      <c r="C278" s="165"/>
      <c r="D278" s="12">
        <f>1*2*0.8</f>
        <v>1.6</v>
      </c>
      <c r="E278" s="12">
        <v>8.5</v>
      </c>
      <c r="F278" s="13">
        <v>2</v>
      </c>
      <c r="G278" s="12"/>
      <c r="H278" s="246">
        <f>D278*IF(OR(E278=0,E278="-"),1,E278)*IF(OR(F278=0,F278="-"),1,F278)*IF(OR(G278=0,G278="-"),1,G278)</f>
        <v>27.200000000000003</v>
      </c>
      <c r="I278" s="14" t="s">
        <v>61</v>
      </c>
      <c r="J278" s="15"/>
      <c r="K278" s="16"/>
      <c r="L278" s="17"/>
    </row>
    <row r="279" spans="1:12" ht="15.6" x14ac:dyDescent="0.3">
      <c r="A279" s="339"/>
      <c r="B279" s="6"/>
      <c r="C279" s="165"/>
      <c r="D279" s="12">
        <v>1.6</v>
      </c>
      <c r="E279" s="12">
        <v>5.4165999999999999</v>
      </c>
      <c r="F279" s="13">
        <v>2</v>
      </c>
      <c r="G279" s="12"/>
      <c r="H279" s="246">
        <f>D279*IF(OR(E279=0,E279="-"),1,E279)*IF(OR(F279=0,F279="-"),1,F279)*IF(OR(G279=0,G279="-"),1,G279)</f>
        <v>17.333120000000001</v>
      </c>
      <c r="I279" s="14" t="s">
        <v>61</v>
      </c>
      <c r="J279" s="15"/>
      <c r="K279" s="16"/>
      <c r="L279" s="17"/>
    </row>
    <row r="280" spans="1:12" ht="15.6" x14ac:dyDescent="0.3">
      <c r="A280" s="339"/>
      <c r="B280" s="6"/>
      <c r="C280" s="165" t="s">
        <v>107</v>
      </c>
      <c r="D280" s="12">
        <v>2</v>
      </c>
      <c r="E280" s="12">
        <v>5</v>
      </c>
      <c r="F280" s="13">
        <v>6.5</v>
      </c>
      <c r="G280" s="12"/>
      <c r="H280" s="246">
        <f>D280*IF(OR(E280=0,E280="-"),1,E280)*IF(OR(F280=0,F280="-"),1,F280)*IF(OR(G280=0,G280="-"),1,G280)</f>
        <v>65</v>
      </c>
      <c r="I280" s="14" t="s">
        <v>61</v>
      </c>
      <c r="J280" s="15"/>
      <c r="K280" s="16"/>
      <c r="L280" s="17"/>
    </row>
    <row r="281" spans="1:12" ht="15.6" x14ac:dyDescent="0.3">
      <c r="A281" s="339"/>
      <c r="B281" s="6"/>
      <c r="C281" s="165"/>
      <c r="D281" s="12">
        <v>2</v>
      </c>
      <c r="E281" s="12">
        <v>3.5</v>
      </c>
      <c r="F281" s="13">
        <v>7</v>
      </c>
      <c r="G281" s="12"/>
      <c r="H281" s="246">
        <f>D281*IF(OR(E281=0,E281="-"),1,E281)*IF(OR(F281=0,F281="-"),1,F281)*IF(OR(G281=0,G281="-"),1,G281)</f>
        <v>49</v>
      </c>
      <c r="I281" s="14" t="s">
        <v>61</v>
      </c>
      <c r="J281" s="15"/>
      <c r="K281" s="16"/>
      <c r="L281" s="17"/>
    </row>
    <row r="282" spans="1:12" ht="15.6" x14ac:dyDescent="0.3">
      <c r="A282" s="340"/>
      <c r="B282" s="40"/>
      <c r="C282" s="52"/>
      <c r="D282" s="21"/>
      <c r="E282" s="21"/>
      <c r="F282" s="251" t="s">
        <v>62</v>
      </c>
      <c r="G282" s="251"/>
      <c r="H282" s="245">
        <f>SUM(H277:INDEX(H:H,ROW()-1))</f>
        <v>1054.5331200000001</v>
      </c>
      <c r="I282" s="23" t="s">
        <v>61</v>
      </c>
      <c r="J282" s="24"/>
      <c r="K282" s="322">
        <f>0</f>
        <v>0</v>
      </c>
      <c r="L282" s="25"/>
    </row>
    <row r="283" spans="1:12" ht="31.2" x14ac:dyDescent="0.3">
      <c r="A283" s="341"/>
      <c r="B283" s="42"/>
      <c r="C283" s="53"/>
      <c r="D283" s="29"/>
      <c r="E283" s="248" t="s">
        <v>63</v>
      </c>
      <c r="F283" s="248"/>
      <c r="G283" s="248"/>
      <c r="H283" s="328">
        <f>ROUND(H282*0.0929,3)</f>
        <v>97.965999999999994</v>
      </c>
      <c r="I283" s="30" t="s">
        <v>64</v>
      </c>
      <c r="J283" s="24" t="s">
        <v>22</v>
      </c>
      <c r="K283" s="323">
        <f>IF(B276="11.68.3",IF(J283="Labour Rate",13,IF(J283="Material Rate",5,IF(J283="Through Rate",19,0))),"")</f>
        <v>13</v>
      </c>
      <c r="L283" s="319">
        <f>IF(H283*K283&lt;&gt;0,H283*K283,0)</f>
        <v>1273.558</v>
      </c>
    </row>
    <row r="284" spans="1:12" ht="13.95" customHeight="1" x14ac:dyDescent="0.3">
      <c r="A284" s="342"/>
      <c r="B284" s="32"/>
      <c r="C284" s="33"/>
      <c r="D284" s="34"/>
      <c r="E284" s="34"/>
      <c r="F284" s="35"/>
      <c r="G284" s="34"/>
      <c r="H284" s="7"/>
      <c r="I284" s="36"/>
      <c r="J284" s="8"/>
      <c r="K284" s="9"/>
      <c r="L284" s="37"/>
    </row>
    <row r="285" spans="1:12" s="273" customFormat="1" ht="65.400000000000006" x14ac:dyDescent="0.3">
      <c r="A285" s="343">
        <f>IFERROR(LOOKUP(2,1/(ISNUMBER($A$2:$A$284)),$A$2:$A$284),0)+1</f>
        <v>33</v>
      </c>
      <c r="B285" s="268" t="s">
        <v>108</v>
      </c>
      <c r="C285" s="309" t="s">
        <v>163</v>
      </c>
      <c r="D285" s="278"/>
      <c r="E285" s="279"/>
      <c r="F285" s="279"/>
      <c r="G285" s="279"/>
      <c r="H285" s="117"/>
      <c r="I285" s="280"/>
      <c r="J285" s="8"/>
      <c r="K285" s="9"/>
      <c r="L285" s="286"/>
    </row>
    <row r="286" spans="1:12" ht="15.6" x14ac:dyDescent="0.3">
      <c r="A286" s="339"/>
      <c r="B286" s="38"/>
      <c r="C286" s="116" t="s">
        <v>109</v>
      </c>
      <c r="D286" s="96">
        <v>1</v>
      </c>
      <c r="E286" s="95">
        <v>1</v>
      </c>
      <c r="F286" s="166">
        <f>H282</f>
        <v>1054.5331200000001</v>
      </c>
      <c r="G286" s="95"/>
      <c r="H286" s="331">
        <f>D286*IF(OR(E286=0,E286="-"),1,E286)*IF(OR(F286=0,F286="-"),1,F286)*IF(OR(G286=0,G286="-"),1,G286)</f>
        <v>1054.5331200000001</v>
      </c>
      <c r="I286" s="97" t="s">
        <v>61</v>
      </c>
      <c r="J286" s="15"/>
      <c r="K286" s="16"/>
      <c r="L286" s="17"/>
    </row>
    <row r="287" spans="1:12" ht="15.6" x14ac:dyDescent="0.3">
      <c r="A287" s="339"/>
      <c r="B287" s="154"/>
      <c r="C287" s="155" t="s">
        <v>104</v>
      </c>
      <c r="D287" s="156">
        <f>2*1.2*4</f>
        <v>9.6</v>
      </c>
      <c r="E287" s="155">
        <v>1.5</v>
      </c>
      <c r="F287" s="155">
        <v>1.5</v>
      </c>
      <c r="G287" s="155"/>
      <c r="H287" s="331">
        <f>D287*IF(OR(E287=0,E287="-"),1,E287)*IF(OR(F287=0,F287="-"),1,F287)*IF(OR(G287=0,G287="-"),1,G287)</f>
        <v>21.599999999999998</v>
      </c>
      <c r="I287" s="157" t="s">
        <v>61</v>
      </c>
      <c r="J287" s="15"/>
      <c r="K287" s="16"/>
      <c r="L287" s="17"/>
    </row>
    <row r="288" spans="1:12" ht="15.6" x14ac:dyDescent="0.3">
      <c r="A288" s="339"/>
      <c r="B288" s="154"/>
      <c r="C288" s="155" t="s">
        <v>105</v>
      </c>
      <c r="D288" s="156">
        <f>2*1.2*8</f>
        <v>19.2</v>
      </c>
      <c r="E288" s="155">
        <v>4</v>
      </c>
      <c r="F288" s="155">
        <v>4</v>
      </c>
      <c r="G288" s="155"/>
      <c r="H288" s="331">
        <f>D288*IF(OR(E288=0,E288="-"),1,E288)*IF(OR(F288=0,F288="-"),1,F288)*IF(OR(G288=0,G288="-"),1,G288)</f>
        <v>307.2</v>
      </c>
      <c r="I288" s="157" t="s">
        <v>61</v>
      </c>
      <c r="J288" s="15"/>
      <c r="K288" s="16"/>
      <c r="L288" s="17"/>
    </row>
    <row r="289" spans="1:12" ht="15.6" x14ac:dyDescent="0.3">
      <c r="A289" s="340"/>
      <c r="B289" s="40"/>
      <c r="C289" s="52"/>
      <c r="D289" s="21"/>
      <c r="E289" s="21"/>
      <c r="F289" s="251" t="s">
        <v>62</v>
      </c>
      <c r="G289" s="251"/>
      <c r="H289" s="245">
        <f>SUM(H286:INDEX(H:H,ROW()-1))</f>
        <v>1383.33312</v>
      </c>
      <c r="I289" s="23" t="s">
        <v>61</v>
      </c>
      <c r="J289" s="24"/>
      <c r="K289" s="322">
        <f>0</f>
        <v>0</v>
      </c>
      <c r="L289" s="25"/>
    </row>
    <row r="290" spans="1:12" ht="31.2" x14ac:dyDescent="0.3">
      <c r="A290" s="341"/>
      <c r="B290" s="42"/>
      <c r="C290" s="53"/>
      <c r="D290" s="29"/>
      <c r="E290" s="248" t="s">
        <v>63</v>
      </c>
      <c r="F290" s="248"/>
      <c r="G290" s="248"/>
      <c r="H290" s="328">
        <f>ROUND(H289*0.0929,3)</f>
        <v>128.512</v>
      </c>
      <c r="I290" s="30" t="s">
        <v>64</v>
      </c>
      <c r="J290" s="24" t="s">
        <v>22</v>
      </c>
      <c r="K290" s="323">
        <f>IF(B285="11.82.1",IF(J290="Labour Rate",30,IF(J290="Material Rate",20,IF(J290="Through Rate",49,0))),"")</f>
        <v>30</v>
      </c>
      <c r="L290" s="319">
        <f>IF(H290*K290&lt;&gt;0,H290*K290,0)</f>
        <v>3855.36</v>
      </c>
    </row>
    <row r="291" spans="1:12" ht="13.95" customHeight="1" x14ac:dyDescent="0.3">
      <c r="A291" s="342"/>
      <c r="B291" s="32"/>
      <c r="C291" s="33"/>
      <c r="D291" s="34"/>
      <c r="E291" s="34"/>
      <c r="F291" s="35"/>
      <c r="G291" s="34"/>
      <c r="H291" s="7"/>
      <c r="I291" s="36"/>
      <c r="J291" s="8"/>
      <c r="K291" s="9"/>
      <c r="L291" s="37"/>
    </row>
    <row r="292" spans="1:12" s="273" customFormat="1" ht="82.8" x14ac:dyDescent="0.3">
      <c r="A292" s="343">
        <f>IFERROR(LOOKUP(2,1/(ISNUMBER($A$2:$A$291)),$A$2:$A$291),0)+1</f>
        <v>34</v>
      </c>
      <c r="B292" s="268" t="s">
        <v>110</v>
      </c>
      <c r="C292" s="309" t="s">
        <v>162</v>
      </c>
      <c r="D292" s="278"/>
      <c r="E292" s="279"/>
      <c r="F292" s="279"/>
      <c r="G292" s="279"/>
      <c r="H292" s="117"/>
      <c r="I292" s="280"/>
      <c r="J292" s="118"/>
      <c r="K292" s="119"/>
      <c r="L292" s="281"/>
    </row>
    <row r="293" spans="1:12" ht="15.6" x14ac:dyDescent="0.3">
      <c r="A293" s="339"/>
      <c r="B293" s="120"/>
      <c r="C293" s="95" t="s">
        <v>111</v>
      </c>
      <c r="D293" s="96">
        <v>1</v>
      </c>
      <c r="E293" s="95">
        <v>38.5</v>
      </c>
      <c r="F293" s="95"/>
      <c r="G293" s="95">
        <f>11.75-5-0.5</f>
        <v>6.25</v>
      </c>
      <c r="H293" s="331">
        <f>D293*IF(OR(E293=0,E293="-"),1,E293)*IF(OR(F293=0,F293="-"),1,F293)*IF(OR(G293=0,G293="-"),1,G293)</f>
        <v>240.625</v>
      </c>
      <c r="I293" s="97" t="s">
        <v>61</v>
      </c>
      <c r="J293" s="121"/>
      <c r="K293" s="122"/>
      <c r="L293" s="123"/>
    </row>
    <row r="294" spans="1:12" ht="15.6" x14ac:dyDescent="0.3">
      <c r="A294" s="339"/>
      <c r="B294" s="120"/>
      <c r="C294" s="95"/>
      <c r="D294" s="96">
        <v>1</v>
      </c>
      <c r="E294" s="95">
        <v>30.5</v>
      </c>
      <c r="F294" s="95"/>
      <c r="G294" s="95">
        <f t="shared" ref="G294:G299" si="1">11.75-5-0.5</f>
        <v>6.25</v>
      </c>
      <c r="H294" s="331">
        <f>D294*IF(OR(E294=0,E294="-"),1,E294)*IF(OR(F294=0,F294="-"),1,F294)*IF(OR(G294=0,G294="-"),1,G294)</f>
        <v>190.625</v>
      </c>
      <c r="I294" s="97" t="s">
        <v>61</v>
      </c>
      <c r="J294" s="121"/>
      <c r="K294" s="122"/>
      <c r="L294" s="123"/>
    </row>
    <row r="295" spans="1:12" ht="15.6" x14ac:dyDescent="0.3">
      <c r="A295" s="339"/>
      <c r="B295" s="120"/>
      <c r="C295" s="95"/>
      <c r="D295" s="96">
        <v>1</v>
      </c>
      <c r="E295" s="95">
        <v>18.5</v>
      </c>
      <c r="F295" s="95"/>
      <c r="G295" s="95">
        <f t="shared" si="1"/>
        <v>6.25</v>
      </c>
      <c r="H295" s="331">
        <f>D295*IF(OR(E295=0,E295="-"),1,E295)*IF(OR(F295=0,F295="-"),1,F295)*IF(OR(G295=0,G295="-"),1,G295)</f>
        <v>115.625</v>
      </c>
      <c r="I295" s="97" t="s">
        <v>61</v>
      </c>
      <c r="J295" s="121"/>
      <c r="K295" s="122"/>
      <c r="L295" s="123"/>
    </row>
    <row r="296" spans="1:12" ht="15.6" x14ac:dyDescent="0.3">
      <c r="A296" s="339"/>
      <c r="B296" s="120"/>
      <c r="C296" s="95"/>
      <c r="D296" s="96">
        <v>1</v>
      </c>
      <c r="E296" s="95">
        <f>8.5+0.75</f>
        <v>9.25</v>
      </c>
      <c r="F296" s="95"/>
      <c r="G296" s="95">
        <f t="shared" si="1"/>
        <v>6.25</v>
      </c>
      <c r="H296" s="331">
        <f>D296*IF(OR(E296=0,E296="-"),1,E296)*IF(OR(F296=0,F296="-"),1,F296)*IF(OR(G296=0,G296="-"),1,G296)</f>
        <v>57.8125</v>
      </c>
      <c r="I296" s="97" t="s">
        <v>61</v>
      </c>
      <c r="J296" s="121"/>
      <c r="K296" s="122"/>
      <c r="L296" s="123"/>
    </row>
    <row r="297" spans="1:12" ht="15.6" x14ac:dyDescent="0.3">
      <c r="A297" s="339"/>
      <c r="B297" s="120"/>
      <c r="C297" s="95"/>
      <c r="D297" s="96">
        <v>1</v>
      </c>
      <c r="E297" s="95">
        <f>11.333+0.75</f>
        <v>12.083</v>
      </c>
      <c r="F297" s="95"/>
      <c r="G297" s="95">
        <f t="shared" si="1"/>
        <v>6.25</v>
      </c>
      <c r="H297" s="331">
        <f>D297*IF(OR(E297=0,E297="-"),1,E297)*IF(OR(F297=0,F297="-"),1,F297)*IF(OR(G297=0,G297="-"),1,G297)</f>
        <v>75.518749999999997</v>
      </c>
      <c r="I297" s="97" t="s">
        <v>61</v>
      </c>
      <c r="J297" s="121"/>
      <c r="K297" s="122"/>
      <c r="L297" s="123"/>
    </row>
    <row r="298" spans="1:12" ht="15.6" x14ac:dyDescent="0.3">
      <c r="A298" s="339"/>
      <c r="B298" s="120"/>
      <c r="C298" s="95"/>
      <c r="D298" s="96">
        <v>2</v>
      </c>
      <c r="E298" s="95">
        <v>11.25</v>
      </c>
      <c r="F298" s="95"/>
      <c r="G298" s="95">
        <f t="shared" si="1"/>
        <v>6.25</v>
      </c>
      <c r="H298" s="331">
        <f>D298*IF(OR(E298=0,E298="-"),1,E298)*IF(OR(F298=0,F298="-"),1,F298)*IF(OR(G298=0,G298="-"),1,G298)</f>
        <v>140.625</v>
      </c>
      <c r="I298" s="97" t="s">
        <v>61</v>
      </c>
      <c r="J298" s="121"/>
      <c r="K298" s="122"/>
      <c r="L298" s="123"/>
    </row>
    <row r="299" spans="1:12" ht="15.6" x14ac:dyDescent="0.3">
      <c r="A299" s="339"/>
      <c r="B299" s="120"/>
      <c r="C299" s="95"/>
      <c r="D299" s="96">
        <v>2</v>
      </c>
      <c r="E299" s="95">
        <v>8.5</v>
      </c>
      <c r="F299" s="95"/>
      <c r="G299" s="95">
        <f t="shared" si="1"/>
        <v>6.25</v>
      </c>
      <c r="H299" s="331">
        <f>D299*IF(OR(E299=0,E299="-"),1,E299)*IF(OR(F299=0,F299="-"),1,F299)*IF(OR(G299=0,G299="-"),1,G299)</f>
        <v>106.25</v>
      </c>
      <c r="I299" s="97" t="s">
        <v>61</v>
      </c>
      <c r="J299" s="121"/>
      <c r="K299" s="122"/>
      <c r="L299" s="123"/>
    </row>
    <row r="300" spans="1:12" ht="15.6" x14ac:dyDescent="0.3">
      <c r="A300" s="339"/>
      <c r="B300" s="120"/>
      <c r="C300" s="95" t="s">
        <v>112</v>
      </c>
      <c r="D300" s="96">
        <v>1</v>
      </c>
      <c r="E300" s="95">
        <v>38.5</v>
      </c>
      <c r="F300" s="95">
        <v>30.5</v>
      </c>
      <c r="G300" s="95"/>
      <c r="H300" s="331">
        <f>D300*IF(OR(E300=0,E300="-"),1,E300)*IF(OR(F300=0,F300="-"),1,F300)*IF(OR(G300=0,G300="-"),1,G300)</f>
        <v>1174.25</v>
      </c>
      <c r="I300" s="97" t="s">
        <v>61</v>
      </c>
      <c r="J300" s="121"/>
      <c r="K300" s="122"/>
      <c r="L300" s="123"/>
    </row>
    <row r="301" spans="1:12" ht="15.6" x14ac:dyDescent="0.3">
      <c r="A301" s="339"/>
      <c r="B301" s="120"/>
      <c r="C301" s="95"/>
      <c r="D301" s="96">
        <v>1</v>
      </c>
      <c r="E301" s="95">
        <f>38.5+1.5</f>
        <v>40</v>
      </c>
      <c r="F301" s="95">
        <v>3</v>
      </c>
      <c r="G301" s="95"/>
      <c r="H301" s="331">
        <f>D301*IF(OR(E301=0,E301="-"),1,E301)*IF(OR(F301=0,F301="-"),1,F301)*IF(OR(G301=0,G301="-"),1,G301)</f>
        <v>120</v>
      </c>
      <c r="I301" s="97" t="s">
        <v>61</v>
      </c>
      <c r="J301" s="121"/>
      <c r="K301" s="122"/>
      <c r="L301" s="123"/>
    </row>
    <row r="302" spans="1:12" ht="15.6" x14ac:dyDescent="0.3">
      <c r="A302" s="339"/>
      <c r="B302" s="120"/>
      <c r="C302" s="95" t="s">
        <v>113</v>
      </c>
      <c r="D302" s="96">
        <v>2</v>
      </c>
      <c r="E302" s="95">
        <f>38.5+1.5</f>
        <v>40</v>
      </c>
      <c r="F302" s="95"/>
      <c r="G302" s="95">
        <v>15.25</v>
      </c>
      <c r="H302" s="331">
        <f>D302*IF(OR(E302=0,E302="-"),1,E302)*IF(OR(F302=0,F302="-"),1,F302)*IF(OR(G302=0,G302="-"),1,G302)</f>
        <v>1220</v>
      </c>
      <c r="I302" s="97" t="s">
        <v>61</v>
      </c>
      <c r="J302" s="121"/>
      <c r="K302" s="122"/>
      <c r="L302" s="123"/>
    </row>
    <row r="303" spans="1:12" ht="15.6" x14ac:dyDescent="0.3">
      <c r="A303" s="339"/>
      <c r="B303" s="120"/>
      <c r="C303" s="95"/>
      <c r="D303" s="96">
        <v>2</v>
      </c>
      <c r="E303" s="95">
        <f>30.5+1.5</f>
        <v>32</v>
      </c>
      <c r="F303" s="95"/>
      <c r="G303" s="95">
        <v>15.25</v>
      </c>
      <c r="H303" s="331">
        <f>D303*IF(OR(E303=0,E303="-"),1,E303)*IF(OR(F303=0,F303="-"),1,F303)*IF(OR(G303=0,G303="-"),1,G303)</f>
        <v>976</v>
      </c>
      <c r="I303" s="97" t="s">
        <v>61</v>
      </c>
      <c r="J303" s="121"/>
      <c r="K303" s="122"/>
      <c r="L303" s="123"/>
    </row>
    <row r="304" spans="1:12" ht="15.6" x14ac:dyDescent="0.3">
      <c r="A304" s="339"/>
      <c r="B304" s="120"/>
      <c r="C304" s="95" t="s">
        <v>49</v>
      </c>
      <c r="D304" s="96">
        <v>2</v>
      </c>
      <c r="E304" s="95">
        <f>38.5+0.75</f>
        <v>39.25</v>
      </c>
      <c r="F304" s="95"/>
      <c r="G304" s="95">
        <v>2.8330000000000002</v>
      </c>
      <c r="H304" s="331">
        <f>D304*IF(OR(E304=0,E304="-"),1,E304)*IF(OR(F304=0,F304="-"),1,F304)*IF(OR(G304=0,G304="-"),1,G304)</f>
        <v>222.3905</v>
      </c>
      <c r="I304" s="97" t="s">
        <v>61</v>
      </c>
      <c r="J304" s="121"/>
      <c r="K304" s="122"/>
      <c r="L304" s="123"/>
    </row>
    <row r="305" spans="1:12" ht="15.6" x14ac:dyDescent="0.3">
      <c r="A305" s="339"/>
      <c r="B305" s="120"/>
      <c r="C305" s="95"/>
      <c r="D305" s="96">
        <v>2</v>
      </c>
      <c r="E305" s="95">
        <f>30.5+0.75</f>
        <v>31.25</v>
      </c>
      <c r="F305" s="95"/>
      <c r="G305" s="95">
        <v>2.8330000000000002</v>
      </c>
      <c r="H305" s="331">
        <f>D305*IF(OR(E305=0,E305="-"),1,E305)*IF(OR(F305=0,F305="-"),1,F305)*IF(OR(G305=0,G305="-"),1,G305)</f>
        <v>177.0625</v>
      </c>
      <c r="I305" s="97" t="s">
        <v>61</v>
      </c>
      <c r="J305" s="121"/>
      <c r="K305" s="122"/>
      <c r="L305" s="123"/>
    </row>
    <row r="306" spans="1:12" ht="15.6" x14ac:dyDescent="0.3">
      <c r="A306" s="339"/>
      <c r="B306" s="120"/>
      <c r="C306" s="95" t="s">
        <v>48</v>
      </c>
      <c r="D306" s="96">
        <v>2</v>
      </c>
      <c r="E306" s="95">
        <f>6.75+1.5</f>
        <v>8.25</v>
      </c>
      <c r="F306" s="95"/>
      <c r="G306" s="95">
        <v>9.5</v>
      </c>
      <c r="H306" s="331">
        <f>D306*IF(OR(E306=0,E306="-"),1,E306)*IF(OR(F306=0,F306="-"),1,F306)*IF(OR(G306=0,G306="-"),1,G306)</f>
        <v>156.75</v>
      </c>
      <c r="I306" s="97" t="s">
        <v>61</v>
      </c>
      <c r="J306" s="121"/>
      <c r="K306" s="122"/>
      <c r="L306" s="123"/>
    </row>
    <row r="307" spans="1:12" ht="15.6" x14ac:dyDescent="0.3">
      <c r="A307" s="339"/>
      <c r="B307" s="120"/>
      <c r="C307" s="95"/>
      <c r="D307" s="96">
        <v>2</v>
      </c>
      <c r="E307" s="95">
        <v>14.5</v>
      </c>
      <c r="F307" s="95"/>
      <c r="G307" s="95">
        <v>9.5</v>
      </c>
      <c r="H307" s="331">
        <f>D307*IF(OR(E307=0,E307="-"),1,E307)*IF(OR(F307=0,F307="-"),1,F307)*IF(OR(G307=0,G307="-"),1,G307)</f>
        <v>275.5</v>
      </c>
      <c r="I307" s="97" t="s">
        <v>61</v>
      </c>
      <c r="J307" s="121"/>
      <c r="K307" s="122"/>
      <c r="L307" s="123"/>
    </row>
    <row r="308" spans="1:12" ht="15.6" x14ac:dyDescent="0.3">
      <c r="A308" s="339"/>
      <c r="B308" s="120"/>
      <c r="C308" s="95" t="s">
        <v>114</v>
      </c>
      <c r="D308" s="96">
        <v>2</v>
      </c>
      <c r="E308" s="95">
        <v>16</v>
      </c>
      <c r="F308" s="95"/>
      <c r="G308" s="95">
        <v>3.5</v>
      </c>
      <c r="H308" s="331">
        <f>D308*IF(OR(E308=0,E308="-"),1,E308)*IF(OR(F308=0,F308="-"),1,F308)*IF(OR(G308=0,G308="-"),1,G308)</f>
        <v>112</v>
      </c>
      <c r="I308" s="97" t="s">
        <v>61</v>
      </c>
      <c r="J308" s="121"/>
      <c r="K308" s="122"/>
      <c r="L308" s="123"/>
    </row>
    <row r="309" spans="1:12" ht="15.6" x14ac:dyDescent="0.3">
      <c r="A309" s="339"/>
      <c r="B309" s="120"/>
      <c r="C309" s="95"/>
      <c r="D309" s="96">
        <v>20</v>
      </c>
      <c r="E309" s="95">
        <f>3.5-0.5</f>
        <v>3</v>
      </c>
      <c r="F309" s="95"/>
      <c r="G309" s="95">
        <f>(8+11)/12</f>
        <v>1.5833333333333333</v>
      </c>
      <c r="H309" s="331">
        <f>D309*IF(OR(E309=0,E309="-"),1,E309)*IF(OR(F309=0,F309="-"),1,F309)*IF(OR(G309=0,G309="-"),1,G309)</f>
        <v>95</v>
      </c>
      <c r="I309" s="97" t="s">
        <v>61</v>
      </c>
      <c r="J309" s="121"/>
      <c r="K309" s="122"/>
      <c r="L309" s="123"/>
    </row>
    <row r="310" spans="1:12" ht="15.6" x14ac:dyDescent="0.3">
      <c r="A310" s="339"/>
      <c r="B310" s="120"/>
      <c r="C310" s="95" t="s">
        <v>115</v>
      </c>
      <c r="D310" s="96">
        <v>1</v>
      </c>
      <c r="E310" s="95">
        <f>59.4166-1.5-7.25</f>
        <v>50.666600000000003</v>
      </c>
      <c r="F310" s="95"/>
      <c r="G310" s="95">
        <v>4.4165999999999999</v>
      </c>
      <c r="H310" s="331">
        <f>D310*IF(OR(E310=0,E310="-"),1,E310)*IF(OR(F310=0,F310="-"),1,F310)*IF(OR(G310=0,G310="-"),1,G310)</f>
        <v>223.77410556000001</v>
      </c>
      <c r="I310" s="97" t="s">
        <v>61</v>
      </c>
      <c r="J310" s="121"/>
      <c r="K310" s="122"/>
      <c r="L310" s="123"/>
    </row>
    <row r="311" spans="1:12" ht="15.6" x14ac:dyDescent="0.3">
      <c r="A311" s="339"/>
      <c r="B311" s="120"/>
      <c r="C311" s="95"/>
      <c r="D311" s="96">
        <v>1</v>
      </c>
      <c r="E311" s="95">
        <v>131</v>
      </c>
      <c r="F311" s="95"/>
      <c r="G311" s="95">
        <v>4.4165999999999999</v>
      </c>
      <c r="H311" s="331">
        <f>D311*IF(OR(E311=0,E311="-"),1,E311)*IF(OR(F311=0,F311="-"),1,F311)*IF(OR(G311=0,G311="-"),1,G311)</f>
        <v>578.57460000000003</v>
      </c>
      <c r="I311" s="97" t="s">
        <v>61</v>
      </c>
      <c r="J311" s="121"/>
      <c r="K311" s="122"/>
      <c r="L311" s="123"/>
    </row>
    <row r="312" spans="1:12" ht="15.6" x14ac:dyDescent="0.3">
      <c r="A312" s="339"/>
      <c r="B312" s="120"/>
      <c r="C312" s="95"/>
      <c r="D312" s="96">
        <v>1</v>
      </c>
      <c r="E312" s="95">
        <f>142.833-14.5-0.75</f>
        <v>127.583</v>
      </c>
      <c r="F312" s="95"/>
      <c r="G312" s="95">
        <v>4.4165999999999999</v>
      </c>
      <c r="H312" s="331">
        <f>D312*IF(OR(E312=0,E312="-"),1,E312)*IF(OR(F312=0,F312="-"),1,F312)*IF(OR(G312=0,G312="-"),1,G312)</f>
        <v>563.48307779999993</v>
      </c>
      <c r="I312" s="97" t="s">
        <v>61</v>
      </c>
      <c r="J312" s="121"/>
      <c r="K312" s="122"/>
      <c r="L312" s="123"/>
    </row>
    <row r="313" spans="1:12" ht="15.6" x14ac:dyDescent="0.3">
      <c r="A313" s="339"/>
      <c r="B313" s="120"/>
      <c r="C313" s="95"/>
      <c r="D313" s="96">
        <v>1</v>
      </c>
      <c r="E313" s="95">
        <f>58.583+2-6.75-1.5</f>
        <v>52.332999999999998</v>
      </c>
      <c r="F313" s="95"/>
      <c r="G313" s="95">
        <v>4.4165999999999999</v>
      </c>
      <c r="H313" s="331">
        <f>D313*IF(OR(E313=0,E313="-"),1,E313)*IF(OR(F313=0,F313="-"),1,F313)*IF(OR(G313=0,G313="-"),1,G313)</f>
        <v>231.13392779999998</v>
      </c>
      <c r="I313" s="97" t="s">
        <v>61</v>
      </c>
      <c r="J313" s="121"/>
      <c r="K313" s="122"/>
      <c r="L313" s="123"/>
    </row>
    <row r="314" spans="1:12" ht="15.6" x14ac:dyDescent="0.3">
      <c r="A314" s="339"/>
      <c r="B314" s="120"/>
      <c r="C314" s="95"/>
      <c r="D314" s="96">
        <v>1</v>
      </c>
      <c r="E314" s="95">
        <f>59.4166-7.25</f>
        <v>52.166600000000003</v>
      </c>
      <c r="F314" s="95"/>
      <c r="G314" s="12">
        <f>6.875</f>
        <v>6.875</v>
      </c>
      <c r="H314" s="331">
        <f>D314*IF(OR(E314=0,E314="-"),1,E314)*IF(OR(F314=0,F314="-"),1,F314)*IF(OR(G314=0,G314="-"),1,G314)</f>
        <v>358.645375</v>
      </c>
      <c r="I314" s="97" t="s">
        <v>61</v>
      </c>
      <c r="J314" s="121"/>
      <c r="K314" s="122"/>
      <c r="L314" s="123"/>
    </row>
    <row r="315" spans="1:12" ht="15.6" x14ac:dyDescent="0.3">
      <c r="A315" s="339"/>
      <c r="B315" s="120"/>
      <c r="C315" s="95"/>
      <c r="D315" s="96">
        <v>1</v>
      </c>
      <c r="E315" s="95">
        <f>131+0.75</f>
        <v>131.75</v>
      </c>
      <c r="F315" s="95"/>
      <c r="G315" s="95">
        <v>6.25</v>
      </c>
      <c r="H315" s="331">
        <f>D315*IF(OR(E315=0,E315="-"),1,E315)*IF(OR(F315=0,F315="-"),1,F315)*IF(OR(G315=0,G315="-"),1,G315)</f>
        <v>823.4375</v>
      </c>
      <c r="I315" s="97" t="s">
        <v>61</v>
      </c>
      <c r="J315" s="121"/>
      <c r="K315" s="122"/>
      <c r="L315" s="123"/>
    </row>
    <row r="316" spans="1:12" ht="15.6" x14ac:dyDescent="0.3">
      <c r="A316" s="339"/>
      <c r="B316" s="120"/>
      <c r="C316" s="95"/>
      <c r="D316" s="96">
        <v>1</v>
      </c>
      <c r="E316" s="95">
        <f>142.833-14.5</f>
        <v>128.333</v>
      </c>
      <c r="F316" s="95"/>
      <c r="G316" s="95">
        <v>7.25</v>
      </c>
      <c r="H316" s="331">
        <f>D316*IF(OR(E316=0,E316="-"),1,E316)*IF(OR(F316=0,F316="-"),1,F316)*IF(OR(G316=0,G316="-"),1,G316)</f>
        <v>930.41425000000004</v>
      </c>
      <c r="I316" s="97" t="s">
        <v>61</v>
      </c>
      <c r="J316" s="121"/>
      <c r="K316" s="122"/>
      <c r="L316" s="123"/>
    </row>
    <row r="317" spans="1:12" ht="15.6" x14ac:dyDescent="0.3">
      <c r="A317" s="339"/>
      <c r="B317" s="120"/>
      <c r="C317" s="95"/>
      <c r="D317" s="96">
        <v>1</v>
      </c>
      <c r="E317" s="95">
        <f>58.583+2-6.75-0.75</f>
        <v>53.082999999999998</v>
      </c>
      <c r="F317" s="95"/>
      <c r="G317" s="95">
        <v>5.25</v>
      </c>
      <c r="H317" s="331">
        <f>D317*IF(OR(E317=0,E317="-"),1,E317)*IF(OR(F317=0,F317="-"),1,F317)*IF(OR(G317=0,G317="-"),1,G317)</f>
        <v>278.68574999999998</v>
      </c>
      <c r="I317" s="97" t="s">
        <v>61</v>
      </c>
      <c r="J317" s="121"/>
      <c r="K317" s="122"/>
      <c r="L317" s="123"/>
    </row>
    <row r="318" spans="1:12" ht="15.6" x14ac:dyDescent="0.3">
      <c r="A318" s="340"/>
      <c r="B318" s="124"/>
      <c r="C318" s="125"/>
      <c r="D318" s="124"/>
      <c r="E318" s="125"/>
      <c r="F318" s="253" t="s">
        <v>62</v>
      </c>
      <c r="G318" s="253"/>
      <c r="H318" s="333">
        <f>SUM(H293:INDEX(H:H,ROW()-1))</f>
        <v>9444.1828361600001</v>
      </c>
      <c r="I318" s="126" t="s">
        <v>61</v>
      </c>
      <c r="J318" s="104"/>
      <c r="K318" s="325">
        <f>0</f>
        <v>0</v>
      </c>
      <c r="L318" s="127"/>
    </row>
    <row r="319" spans="1:12" ht="28.8" x14ac:dyDescent="0.3">
      <c r="A319" s="341"/>
      <c r="B319" s="100"/>
      <c r="C319" s="101"/>
      <c r="D319" s="100"/>
      <c r="E319" s="254" t="s">
        <v>63</v>
      </c>
      <c r="F319" s="254"/>
      <c r="G319" s="254"/>
      <c r="H319" s="333">
        <f>ROUND(H318*0.0929,3)</f>
        <v>877.36500000000001</v>
      </c>
      <c r="I319" s="103" t="s">
        <v>64</v>
      </c>
      <c r="J319" s="104" t="s">
        <v>22</v>
      </c>
      <c r="K319" s="326">
        <f>IF(B292="11.58",IF(J319="Labour Rate",23,IF(J319="Material Rate",9,IF(J319="Through Rate",32,0))),"")</f>
        <v>23</v>
      </c>
      <c r="L319" s="321">
        <f>IF(H319*K319&lt;&gt;0,H319*K319,0)</f>
        <v>20179.395</v>
      </c>
    </row>
    <row r="320" spans="1:12" ht="13.95" customHeight="1" x14ac:dyDescent="0.3">
      <c r="A320" s="342"/>
      <c r="B320" s="167"/>
      <c r="C320" s="130"/>
      <c r="D320" s="131"/>
      <c r="E320" s="130"/>
      <c r="F320" s="130"/>
      <c r="G320" s="130"/>
      <c r="H320" s="117"/>
      <c r="I320" s="133"/>
      <c r="J320" s="118"/>
      <c r="K320" s="119"/>
      <c r="L320" s="168"/>
    </row>
    <row r="321" spans="1:12" s="273" customFormat="1" ht="63.6" x14ac:dyDescent="0.3">
      <c r="A321" s="343">
        <f>IFERROR(LOOKUP(2,1/(ISNUMBER($A$2:$A$320)),$A$2:$A$320),0)+1</f>
        <v>35</v>
      </c>
      <c r="B321" s="268" t="s">
        <v>116</v>
      </c>
      <c r="C321" s="309" t="s">
        <v>161</v>
      </c>
      <c r="D321" s="278"/>
      <c r="E321" s="279"/>
      <c r="F321" s="279"/>
      <c r="G321" s="279"/>
      <c r="H321" s="117"/>
      <c r="I321" s="280"/>
      <c r="J321" s="118"/>
      <c r="K321" s="119"/>
      <c r="L321" s="281"/>
    </row>
    <row r="322" spans="1:12" ht="15.6" x14ac:dyDescent="0.3">
      <c r="A322" s="339"/>
      <c r="B322" s="154"/>
      <c r="C322" s="155" t="s">
        <v>109</v>
      </c>
      <c r="D322" s="156">
        <v>1</v>
      </c>
      <c r="E322" s="155">
        <v>1</v>
      </c>
      <c r="F322" s="155"/>
      <c r="G322" s="169">
        <f>H318</f>
        <v>9444.1828361600001</v>
      </c>
      <c r="H322" s="331">
        <f>D322*IF(OR(E322=0,E322="-"),1,E322)*IF(OR(F322=0,F322="-"),1,F322)*IF(OR(G322=0,G322="-"),1,G322)</f>
        <v>9444.1828361600001</v>
      </c>
      <c r="I322" s="157" t="s">
        <v>61</v>
      </c>
      <c r="J322" s="121"/>
      <c r="K322" s="122"/>
      <c r="L322" s="170"/>
    </row>
    <row r="323" spans="1:12" ht="15.6" x14ac:dyDescent="0.3">
      <c r="A323" s="340"/>
      <c r="B323" s="40"/>
      <c r="C323" s="52"/>
      <c r="D323" s="21"/>
      <c r="E323" s="21"/>
      <c r="F323" s="251" t="s">
        <v>62</v>
      </c>
      <c r="G323" s="251"/>
      <c r="H323" s="245">
        <f>SUM(H322:INDEX(H:H,ROW()-1))</f>
        <v>9444.1828361600001</v>
      </c>
      <c r="I323" s="23" t="s">
        <v>61</v>
      </c>
      <c r="J323" s="24"/>
      <c r="K323" s="322">
        <f>0</f>
        <v>0</v>
      </c>
      <c r="L323" s="25"/>
    </row>
    <row r="324" spans="1:12" ht="31.2" x14ac:dyDescent="0.3">
      <c r="A324" s="341"/>
      <c r="B324" s="42"/>
      <c r="C324" s="53"/>
      <c r="D324" s="29"/>
      <c r="E324" s="248" t="s">
        <v>63</v>
      </c>
      <c r="F324" s="248"/>
      <c r="G324" s="248"/>
      <c r="H324" s="328">
        <f>ROUND(H323*0.0929,3)</f>
        <v>877.36500000000001</v>
      </c>
      <c r="I324" s="30" t="s">
        <v>64</v>
      </c>
      <c r="J324" s="24" t="s">
        <v>22</v>
      </c>
      <c r="K324" s="323">
        <f>IF(B321="11.95.1",IF(J324="Labour Rate",29,IF(J324="Material Rate",57,IF(J324="Through Rate",88,0))),"")</f>
        <v>29</v>
      </c>
      <c r="L324" s="319">
        <f>IF(H324*K324&lt;&gt;0,H324*K324,0)</f>
        <v>25443.584999999999</v>
      </c>
    </row>
    <row r="325" spans="1:12" ht="13.95" customHeight="1" x14ac:dyDescent="0.3">
      <c r="A325" s="342"/>
      <c r="B325" s="32"/>
      <c r="C325" s="33"/>
      <c r="D325" s="34"/>
      <c r="E325" s="34"/>
      <c r="F325" s="35"/>
      <c r="G325" s="34"/>
      <c r="H325" s="7"/>
      <c r="I325" s="36"/>
      <c r="J325" s="8"/>
      <c r="K325" s="9"/>
      <c r="L325" s="37"/>
    </row>
    <row r="326" spans="1:12" s="273" customFormat="1" ht="69" x14ac:dyDescent="0.3">
      <c r="A326" s="343">
        <f>IFERROR(LOOKUP(2,1/(ISNUMBER($A$2:$A$325)),$A$2:$A$325),0)+1</f>
        <v>36</v>
      </c>
      <c r="B326" s="268" t="s">
        <v>117</v>
      </c>
      <c r="C326" s="312" t="s">
        <v>160</v>
      </c>
      <c r="D326" s="287"/>
      <c r="E326" s="288"/>
      <c r="F326" s="289"/>
      <c r="G326" s="288"/>
      <c r="H326" s="171"/>
      <c r="I326" s="290"/>
      <c r="J326" s="172"/>
      <c r="K326" s="9"/>
      <c r="L326" s="286"/>
    </row>
    <row r="327" spans="1:12" ht="15.6" x14ac:dyDescent="0.3">
      <c r="A327" s="339"/>
      <c r="B327" s="173"/>
      <c r="C327" s="174"/>
      <c r="D327" s="175">
        <v>1</v>
      </c>
      <c r="E327" s="175">
        <v>500</v>
      </c>
      <c r="F327" s="176"/>
      <c r="G327" s="175"/>
      <c r="H327" s="336">
        <f>D327*IF(OR(E327=0,E327="-"),1,E327)*IF(OR(F327=0,F327="-"),1,F327)*IF(OR(G327=0,G327="-"),1,G327)</f>
        <v>500</v>
      </c>
      <c r="I327" s="177" t="s">
        <v>118</v>
      </c>
      <c r="J327" s="178"/>
      <c r="K327" s="16"/>
      <c r="L327" s="17"/>
    </row>
    <row r="328" spans="1:12" ht="15.6" x14ac:dyDescent="0.3">
      <c r="A328" s="340"/>
      <c r="B328" s="40"/>
      <c r="C328" s="52"/>
      <c r="D328" s="21"/>
      <c r="E328" s="21"/>
      <c r="F328" s="251" t="s">
        <v>119</v>
      </c>
      <c r="G328" s="251"/>
      <c r="H328" s="245">
        <f>SUM(H327:INDEX(H:H,ROW()-1))</f>
        <v>500</v>
      </c>
      <c r="I328" s="23" t="s">
        <v>118</v>
      </c>
      <c r="J328" s="24"/>
      <c r="K328" s="322">
        <f>0</f>
        <v>0</v>
      </c>
      <c r="L328" s="25"/>
    </row>
    <row r="329" spans="1:12" ht="31.2" x14ac:dyDescent="0.3">
      <c r="A329" s="341"/>
      <c r="B329" s="42"/>
      <c r="C329" s="53"/>
      <c r="D329" s="29"/>
      <c r="E329" s="248" t="s">
        <v>119</v>
      </c>
      <c r="F329" s="248"/>
      <c r="G329" s="248"/>
      <c r="H329" s="328">
        <f>ROUND(H328*1,3)</f>
        <v>500</v>
      </c>
      <c r="I329" s="30" t="s">
        <v>120</v>
      </c>
      <c r="J329" s="24" t="s">
        <v>20</v>
      </c>
      <c r="K329" s="323">
        <f>IF(B326="22.181",IF(J329="Material Rate",6,IF(J329="Through Rate",7,0)),"")</f>
        <v>7</v>
      </c>
      <c r="L329" s="319">
        <f>IF(H329*K329&lt;&gt;0,H329*K329,0)</f>
        <v>3500</v>
      </c>
    </row>
    <row r="330" spans="1:12" ht="13.95" customHeight="1" x14ac:dyDescent="0.3">
      <c r="A330" s="342"/>
      <c r="B330" s="32"/>
      <c r="C330" s="33"/>
      <c r="D330" s="34"/>
      <c r="E330" s="34"/>
      <c r="F330" s="35"/>
      <c r="G330" s="34"/>
      <c r="H330" s="7"/>
      <c r="I330" s="36"/>
      <c r="J330" s="8"/>
      <c r="K330" s="9"/>
      <c r="L330" s="37"/>
    </row>
    <row r="331" spans="1:12" s="273" customFormat="1" ht="106.8" x14ac:dyDescent="0.3">
      <c r="A331" s="343">
        <f>IFERROR(LOOKUP(2,1/(ISNUMBER($A$2:$A$330)),$A$2:$A$330),0)+1</f>
        <v>37</v>
      </c>
      <c r="B331" s="268" t="s">
        <v>121</v>
      </c>
      <c r="C331" s="312" t="s">
        <v>159</v>
      </c>
      <c r="D331" s="287"/>
      <c r="E331" s="288"/>
      <c r="F331" s="289"/>
      <c r="G331" s="288"/>
      <c r="H331" s="171"/>
      <c r="I331" s="290"/>
      <c r="J331" s="8"/>
      <c r="K331" s="9"/>
      <c r="L331" s="286"/>
    </row>
    <row r="332" spans="1:12" ht="15.6" x14ac:dyDescent="0.3">
      <c r="A332" s="339"/>
      <c r="B332" s="173"/>
      <c r="C332" s="174"/>
      <c r="D332" s="175">
        <v>1</v>
      </c>
      <c r="E332" s="175">
        <v>65</v>
      </c>
      <c r="F332" s="176"/>
      <c r="G332" s="175"/>
      <c r="H332" s="336">
        <f>D332*IF(OR(E332=0,E332="-"),1,E332)*IF(OR(F332=0,F332="-"),1,F332)*IF(OR(G332=0,G332="-"),1,G332)</f>
        <v>65</v>
      </c>
      <c r="I332" s="177" t="s">
        <v>31</v>
      </c>
      <c r="J332" s="15"/>
      <c r="K332" s="16"/>
      <c r="L332" s="17"/>
    </row>
    <row r="333" spans="1:12" ht="15.6" x14ac:dyDescent="0.3">
      <c r="A333" s="339"/>
      <c r="B333" s="173"/>
      <c r="C333" s="174"/>
      <c r="D333" s="175">
        <v>1</v>
      </c>
      <c r="E333" s="175">
        <v>110</v>
      </c>
      <c r="F333" s="176"/>
      <c r="G333" s="175"/>
      <c r="H333" s="336">
        <f>D333*IF(OR(E333=0,E333="-"),1,E333)*IF(OR(F333=0,F333="-"),1,F333)*IF(OR(G333=0,G333="-"),1,G333)</f>
        <v>110</v>
      </c>
      <c r="I333" s="177" t="s">
        <v>31</v>
      </c>
      <c r="J333" s="15"/>
      <c r="K333" s="16"/>
      <c r="L333" s="17"/>
    </row>
    <row r="334" spans="1:12" ht="15.6" x14ac:dyDescent="0.3">
      <c r="A334" s="340"/>
      <c r="B334" s="179"/>
      <c r="C334" s="180"/>
      <c r="D334" s="179"/>
      <c r="E334" s="179"/>
      <c r="F334" s="255" t="s">
        <v>33</v>
      </c>
      <c r="G334" s="255"/>
      <c r="H334" s="336">
        <f>SUM(H332:INDEX(H:H,ROW()-1))</f>
        <v>175</v>
      </c>
      <c r="I334" s="181" t="s">
        <v>31</v>
      </c>
      <c r="J334" s="24"/>
      <c r="K334" s="322">
        <f>0</f>
        <v>0</v>
      </c>
      <c r="L334" s="25"/>
    </row>
    <row r="335" spans="1:12" ht="31.2" x14ac:dyDescent="0.3">
      <c r="A335" s="341"/>
      <c r="B335" s="182"/>
      <c r="C335" s="183"/>
      <c r="D335" s="182"/>
      <c r="E335" s="256" t="s">
        <v>34</v>
      </c>
      <c r="F335" s="256"/>
      <c r="G335" s="256"/>
      <c r="H335" s="336">
        <f>ROUND(H334*0.3048,3)</f>
        <v>53.34</v>
      </c>
      <c r="I335" s="184" t="s">
        <v>35</v>
      </c>
      <c r="J335" s="24" t="s">
        <v>22</v>
      </c>
      <c r="K335" s="323">
        <f>IF(B331="22.86.2",IF(J335="Labour Rate",105,IF(J335="Material Rate",159,IF(J335="Through Rate",264,0))),"")</f>
        <v>105</v>
      </c>
      <c r="L335" s="319">
        <f>IF(H335*K335&lt;&gt;0,H335*K335,0)</f>
        <v>5600.7000000000007</v>
      </c>
    </row>
    <row r="336" spans="1:12" ht="13.95" customHeight="1" x14ac:dyDescent="0.3">
      <c r="A336" s="342"/>
      <c r="B336" s="185"/>
      <c r="C336" s="186"/>
      <c r="D336" s="187"/>
      <c r="E336" s="187"/>
      <c r="F336" s="188"/>
      <c r="G336" s="187"/>
      <c r="H336" s="189"/>
      <c r="I336" s="190"/>
      <c r="J336" s="8"/>
      <c r="K336" s="9"/>
      <c r="L336" s="37"/>
    </row>
    <row r="337" spans="1:12" s="273" customFormat="1" ht="118.8" x14ac:dyDescent="0.3">
      <c r="A337" s="343">
        <f>IFERROR(LOOKUP(2,1/(ISNUMBER($A$2:$A$336)),$A$2:$A$336),0)+1</f>
        <v>38</v>
      </c>
      <c r="B337" s="268" t="s">
        <v>122</v>
      </c>
      <c r="C337" s="312" t="s">
        <v>158</v>
      </c>
      <c r="D337" s="287"/>
      <c r="E337" s="288"/>
      <c r="F337" s="289"/>
      <c r="G337" s="288"/>
      <c r="H337" s="189"/>
      <c r="I337" s="290"/>
      <c r="J337" s="8"/>
      <c r="K337" s="9"/>
      <c r="L337" s="286"/>
    </row>
    <row r="338" spans="1:12" ht="15.6" x14ac:dyDescent="0.3">
      <c r="A338" s="339"/>
      <c r="B338" s="6"/>
      <c r="C338" s="165"/>
      <c r="D338" s="12">
        <v>1</v>
      </c>
      <c r="E338" s="12">
        <v>1</v>
      </c>
      <c r="F338" s="13"/>
      <c r="G338" s="12"/>
      <c r="H338" s="246">
        <f>D338*IF(OR(E338=0,E338="-"),1,E338)*IF(OR(F338=0,F338="-"),1,F338)*IF(OR(G338=0,G338="-"),1,G338)</f>
        <v>1</v>
      </c>
      <c r="I338" s="14" t="s">
        <v>94</v>
      </c>
      <c r="J338" s="15"/>
      <c r="K338" s="16"/>
      <c r="L338" s="17"/>
    </row>
    <row r="339" spans="1:12" ht="15.6" x14ac:dyDescent="0.3">
      <c r="A339" s="340"/>
      <c r="B339" s="40"/>
      <c r="C339" s="52"/>
      <c r="D339" s="21"/>
      <c r="E339" s="21"/>
      <c r="F339" s="251" t="s">
        <v>95</v>
      </c>
      <c r="G339" s="251"/>
      <c r="H339" s="245">
        <f>SUM(H338:INDEX(H:H,ROW()-1))</f>
        <v>1</v>
      </c>
      <c r="I339" s="23" t="s">
        <v>94</v>
      </c>
      <c r="J339" s="24"/>
      <c r="K339" s="322">
        <f>0</f>
        <v>0</v>
      </c>
      <c r="L339" s="25"/>
    </row>
    <row r="340" spans="1:12" ht="31.2" x14ac:dyDescent="0.3">
      <c r="A340" s="341"/>
      <c r="B340" s="42"/>
      <c r="C340" s="53"/>
      <c r="D340" s="29"/>
      <c r="E340" s="248" t="s">
        <v>95</v>
      </c>
      <c r="F340" s="248"/>
      <c r="G340" s="248"/>
      <c r="H340" s="328">
        <f>ROUND(H339*1,3)</f>
        <v>1</v>
      </c>
      <c r="I340" s="30" t="s">
        <v>96</v>
      </c>
      <c r="J340" s="24" t="s">
        <v>22</v>
      </c>
      <c r="K340" s="323">
        <f>IF(B337="22.25.2",IF(J340="Labour Rate",1167,IF(J340="Material Rate",1678,IF(J340="Through Rate",2845,0))),"")</f>
        <v>1167</v>
      </c>
      <c r="L340" s="319">
        <f>IF(H340*K340&lt;&gt;0,H340*K340,0)</f>
        <v>1167</v>
      </c>
    </row>
    <row r="341" spans="1:12" ht="13.95" customHeight="1" x14ac:dyDescent="0.3">
      <c r="A341" s="342"/>
      <c r="B341" s="32"/>
      <c r="C341" s="33"/>
      <c r="D341" s="34"/>
      <c r="E341" s="34"/>
      <c r="F341" s="35"/>
      <c r="G341" s="34"/>
      <c r="H341" s="7"/>
      <c r="I341" s="36"/>
      <c r="J341" s="8"/>
      <c r="K341" s="9"/>
      <c r="L341" s="37"/>
    </row>
    <row r="342" spans="1:12" s="273" customFormat="1" ht="91.2" x14ac:dyDescent="0.3">
      <c r="A342" s="343">
        <f>IFERROR(LOOKUP(2,1/(ISNUMBER($A$2:$A$341)),$A$2:$A$341),0)+1</f>
        <v>39</v>
      </c>
      <c r="B342" s="275" t="s">
        <v>123</v>
      </c>
      <c r="C342" s="308" t="s">
        <v>157</v>
      </c>
      <c r="D342" s="282"/>
      <c r="E342" s="283"/>
      <c r="F342" s="284"/>
      <c r="G342" s="283"/>
      <c r="H342" s="7"/>
      <c r="I342" s="285"/>
      <c r="J342" s="8"/>
      <c r="K342" s="9"/>
      <c r="L342" s="286"/>
    </row>
    <row r="343" spans="1:12" ht="15.6" x14ac:dyDescent="0.3">
      <c r="A343" s="339"/>
      <c r="B343" s="6"/>
      <c r="C343" s="165"/>
      <c r="D343" s="12">
        <v>1</v>
      </c>
      <c r="E343" s="12">
        <v>1</v>
      </c>
      <c r="F343" s="13"/>
      <c r="G343" s="12"/>
      <c r="H343" s="246">
        <f>D343*IF(OR(E343=0,E343="-"),1,E343)*IF(OR(F343=0,F343="-"),1,F343)*IF(OR(G343=0,G343="-"),1,G343)</f>
        <v>1</v>
      </c>
      <c r="I343" s="14" t="s">
        <v>94</v>
      </c>
      <c r="J343" s="15"/>
      <c r="K343" s="16"/>
      <c r="L343" s="17"/>
    </row>
    <row r="344" spans="1:12" ht="15.6" x14ac:dyDescent="0.3">
      <c r="A344" s="340"/>
      <c r="B344" s="40"/>
      <c r="C344" s="52"/>
      <c r="D344" s="21"/>
      <c r="E344" s="21"/>
      <c r="F344" s="251" t="s">
        <v>95</v>
      </c>
      <c r="G344" s="251"/>
      <c r="H344" s="245">
        <f>SUM(H343:INDEX(H:H,ROW()-1))</f>
        <v>1</v>
      </c>
      <c r="I344" s="23" t="s">
        <v>94</v>
      </c>
      <c r="J344" s="24"/>
      <c r="K344" s="322">
        <f>0</f>
        <v>0</v>
      </c>
      <c r="L344" s="25"/>
    </row>
    <row r="345" spans="1:12" ht="31.2" x14ac:dyDescent="0.3">
      <c r="A345" s="341"/>
      <c r="B345" s="42"/>
      <c r="C345" s="53"/>
      <c r="D345" s="29"/>
      <c r="E345" s="248" t="s">
        <v>95</v>
      </c>
      <c r="F345" s="248"/>
      <c r="G345" s="248"/>
      <c r="H345" s="328">
        <f>ROUND(H344*1,3)</f>
        <v>1</v>
      </c>
      <c r="I345" s="30" t="s">
        <v>96</v>
      </c>
      <c r="J345" s="24" t="s">
        <v>22</v>
      </c>
      <c r="K345" s="323">
        <f>IF(B342="22.1.7",IF(J345="Labour Rate",439,IF(J345="Material Rate",827,IF(J345="Through Rate",1265,0))),"")</f>
        <v>439</v>
      </c>
      <c r="L345" s="319">
        <f>IF(H345*K345&lt;&gt;0,H345*K345,0)</f>
        <v>439</v>
      </c>
    </row>
    <row r="346" spans="1:12" ht="13.95" customHeight="1" x14ac:dyDescent="0.3">
      <c r="A346" s="342"/>
      <c r="B346" s="32"/>
      <c r="C346" s="33"/>
      <c r="D346" s="34"/>
      <c r="E346" s="34"/>
      <c r="F346" s="35"/>
      <c r="G346" s="34"/>
      <c r="H346" s="7"/>
      <c r="I346" s="36"/>
      <c r="J346" s="8"/>
      <c r="K346" s="9"/>
      <c r="L346" s="37"/>
    </row>
    <row r="347" spans="1:12" s="273" customFormat="1" ht="118.8" x14ac:dyDescent="0.3">
      <c r="A347" s="343">
        <f>IFERROR(LOOKUP(2,1/(ISNUMBER($A$2:$A$346)),$A$2:$A$346),0)+1</f>
        <v>40</v>
      </c>
      <c r="B347" s="268" t="s">
        <v>124</v>
      </c>
      <c r="C347" s="312" t="s">
        <v>156</v>
      </c>
      <c r="D347" s="287"/>
      <c r="E347" s="288"/>
      <c r="F347" s="289"/>
      <c r="G347" s="288"/>
      <c r="H347" s="171"/>
      <c r="I347" s="290"/>
      <c r="J347" s="172"/>
      <c r="K347" s="191"/>
      <c r="L347" s="291"/>
    </row>
    <row r="348" spans="1:12" ht="15.6" x14ac:dyDescent="0.3">
      <c r="A348" s="339"/>
      <c r="B348" s="173"/>
      <c r="C348" s="174"/>
      <c r="D348" s="175">
        <v>1</v>
      </c>
      <c r="E348" s="175">
        <v>1</v>
      </c>
      <c r="F348" s="176"/>
      <c r="G348" s="175"/>
      <c r="H348" s="336">
        <f>D348*IF(OR(E348=0,E348="-"),1,E348)*IF(OR(F348=0,F348="-"),1,F348)*IF(OR(G348=0,G348="-"),1,G348)</f>
        <v>1</v>
      </c>
      <c r="I348" s="177" t="s">
        <v>94</v>
      </c>
      <c r="J348" s="178"/>
      <c r="K348" s="192"/>
      <c r="L348" s="193"/>
    </row>
    <row r="349" spans="1:12" ht="15.6" x14ac:dyDescent="0.3">
      <c r="A349" s="340"/>
      <c r="B349" s="19"/>
      <c r="C349" s="20"/>
      <c r="D349" s="21"/>
      <c r="E349" s="21"/>
      <c r="F349" s="251" t="s">
        <v>95</v>
      </c>
      <c r="G349" s="251"/>
      <c r="H349" s="245">
        <f>SUM(H348:INDEX(H:H,ROW()-1))</f>
        <v>1</v>
      </c>
      <c r="I349" s="23" t="s">
        <v>94</v>
      </c>
      <c r="J349" s="24"/>
      <c r="K349" s="322">
        <f>0</f>
        <v>0</v>
      </c>
      <c r="L349" s="25"/>
    </row>
    <row r="350" spans="1:12" ht="31.2" x14ac:dyDescent="0.3">
      <c r="A350" s="341"/>
      <c r="B350" s="27"/>
      <c r="C350" s="28"/>
      <c r="D350" s="29"/>
      <c r="E350" s="248" t="s">
        <v>95</v>
      </c>
      <c r="F350" s="248"/>
      <c r="G350" s="248"/>
      <c r="H350" s="328">
        <f>ROUND(H349*1,3)</f>
        <v>1</v>
      </c>
      <c r="I350" s="30" t="s">
        <v>96</v>
      </c>
      <c r="J350" s="24" t="s">
        <v>22</v>
      </c>
      <c r="K350" s="323">
        <f>IF(B347="22.22.1",IF(J350="Labour Rate",1022,IF(J350="Material Rate",2471,IF(J350="Through Rate",3493,0))),"")</f>
        <v>1022</v>
      </c>
      <c r="L350" s="319">
        <f>IF(H350*K350&lt;&gt;0,H350*K350,0)</f>
        <v>1022</v>
      </c>
    </row>
    <row r="351" spans="1:12" ht="13.95" customHeight="1" x14ac:dyDescent="0.3">
      <c r="A351" s="342"/>
      <c r="B351" s="32"/>
      <c r="C351" s="33"/>
      <c r="D351" s="34"/>
      <c r="E351" s="34"/>
      <c r="F351" s="35"/>
      <c r="G351" s="34"/>
      <c r="H351" s="7"/>
      <c r="I351" s="36"/>
      <c r="J351" s="8"/>
      <c r="K351" s="9"/>
      <c r="L351" s="37"/>
    </row>
    <row r="352" spans="1:12" s="273" customFormat="1" ht="93" x14ac:dyDescent="0.3">
      <c r="A352" s="343">
        <f>IFERROR(LOOKUP(2,1/(ISNUMBER($A$2:$A$351)),$A$2:$A$351),0)+1</f>
        <v>41</v>
      </c>
      <c r="B352" s="275" t="s">
        <v>125</v>
      </c>
      <c r="C352" s="308" t="s">
        <v>155</v>
      </c>
      <c r="D352" s="282"/>
      <c r="E352" s="283"/>
      <c r="F352" s="284"/>
      <c r="G352" s="283"/>
      <c r="H352" s="7"/>
      <c r="I352" s="285"/>
      <c r="J352" s="8"/>
      <c r="K352" s="9"/>
      <c r="L352" s="286"/>
    </row>
    <row r="353" spans="1:12" ht="15.6" x14ac:dyDescent="0.3">
      <c r="A353" s="339"/>
      <c r="B353" s="6"/>
      <c r="C353" s="165" t="s">
        <v>126</v>
      </c>
      <c r="D353" s="12">
        <v>2</v>
      </c>
      <c r="E353" s="12">
        <v>15</v>
      </c>
      <c r="F353" s="13"/>
      <c r="G353" s="12"/>
      <c r="H353" s="246">
        <f>D353*IF(OR(E353=0,E353="-"),1,E353)*IF(OR(F353=0,F353="-"),1,F353)*IF(OR(G353=0,G353="-"),1,G353)</f>
        <v>30</v>
      </c>
      <c r="I353" s="14" t="s">
        <v>31</v>
      </c>
      <c r="J353" s="15"/>
      <c r="K353" s="16"/>
      <c r="L353" s="17"/>
    </row>
    <row r="354" spans="1:12" ht="15.6" x14ac:dyDescent="0.3">
      <c r="A354" s="340"/>
      <c r="B354" s="40"/>
      <c r="C354" s="52"/>
      <c r="D354" s="21"/>
      <c r="E354" s="21"/>
      <c r="F354" s="251" t="s">
        <v>33</v>
      </c>
      <c r="G354" s="251"/>
      <c r="H354" s="245">
        <f>SUM(H353:INDEX(H:H,ROW()-1))</f>
        <v>30</v>
      </c>
      <c r="I354" s="23" t="s">
        <v>31</v>
      </c>
      <c r="J354" s="24"/>
      <c r="K354" s="322">
        <f>0</f>
        <v>0</v>
      </c>
      <c r="L354" s="25"/>
    </row>
    <row r="355" spans="1:12" ht="31.2" x14ac:dyDescent="0.3">
      <c r="A355" s="341"/>
      <c r="B355" s="42"/>
      <c r="C355" s="53"/>
      <c r="D355" s="29"/>
      <c r="E355" s="248" t="s">
        <v>34</v>
      </c>
      <c r="F355" s="248"/>
      <c r="G355" s="248"/>
      <c r="H355" s="328">
        <f>ROUND(H354*0.3048,3)</f>
        <v>9.1440000000000001</v>
      </c>
      <c r="I355" s="30" t="s">
        <v>35</v>
      </c>
      <c r="J355" s="24" t="s">
        <v>22</v>
      </c>
      <c r="K355" s="323">
        <f>IF(B352="22.87.9",IF(J355="Labour Rate",71,IF(J355="Material Rate",2186,IF(J355="Through Rate",2256,0))),"")</f>
        <v>71</v>
      </c>
      <c r="L355" s="319">
        <f>IF(H355*K355&lt;&gt;0,H355*K355,0)</f>
        <v>649.22400000000005</v>
      </c>
    </row>
    <row r="356" spans="1:12" ht="13.95" customHeight="1" x14ac:dyDescent="0.3">
      <c r="A356" s="342"/>
      <c r="B356" s="32"/>
      <c r="C356" s="33"/>
      <c r="D356" s="34"/>
      <c r="E356" s="34"/>
      <c r="F356" s="35"/>
      <c r="G356" s="34"/>
      <c r="H356" s="7"/>
      <c r="I356" s="36"/>
      <c r="J356" s="8"/>
      <c r="K356" s="9"/>
      <c r="L356" s="37"/>
    </row>
    <row r="357" spans="1:12" s="273" customFormat="1" ht="65.400000000000006" x14ac:dyDescent="0.3">
      <c r="A357" s="343">
        <f>IFERROR(LOOKUP(2,1/(ISNUMBER($A$2:$A$356)),$A$2:$A$356),0)+1</f>
        <v>42</v>
      </c>
      <c r="B357" s="275" t="s">
        <v>127</v>
      </c>
      <c r="C357" s="308" t="s">
        <v>154</v>
      </c>
      <c r="D357" s="282"/>
      <c r="E357" s="283"/>
      <c r="F357" s="284"/>
      <c r="G357" s="283"/>
      <c r="H357" s="7"/>
      <c r="I357" s="285"/>
      <c r="J357" s="8"/>
      <c r="K357" s="9"/>
      <c r="L357" s="286"/>
    </row>
    <row r="358" spans="1:12" ht="15.6" x14ac:dyDescent="0.3">
      <c r="A358" s="339"/>
      <c r="B358" s="6"/>
      <c r="C358" s="165"/>
      <c r="D358" s="12">
        <v>2</v>
      </c>
      <c r="E358" s="12">
        <v>1</v>
      </c>
      <c r="F358" s="13"/>
      <c r="G358" s="12"/>
      <c r="H358" s="246">
        <f>D358*IF(OR(E358=0,E358="-"),1,E358)*IF(OR(F358=0,F358="-"),1,F358)*IF(OR(G358=0,G358="-"),1,G358)</f>
        <v>2</v>
      </c>
      <c r="I358" s="14" t="s">
        <v>94</v>
      </c>
      <c r="J358" s="15"/>
      <c r="K358" s="16"/>
      <c r="L358" s="17"/>
    </row>
    <row r="359" spans="1:12" ht="15.6" x14ac:dyDescent="0.3">
      <c r="A359" s="340"/>
      <c r="B359" s="40"/>
      <c r="C359" s="52"/>
      <c r="D359" s="21"/>
      <c r="E359" s="21"/>
      <c r="F359" s="251" t="s">
        <v>95</v>
      </c>
      <c r="G359" s="251"/>
      <c r="H359" s="245">
        <f>SUM(H358:INDEX(H:H,ROW()-1))</f>
        <v>2</v>
      </c>
      <c r="I359" s="23" t="s">
        <v>94</v>
      </c>
      <c r="J359" s="24"/>
      <c r="K359" s="322">
        <f>0</f>
        <v>0</v>
      </c>
      <c r="L359" s="25"/>
    </row>
    <row r="360" spans="1:12" ht="31.2" x14ac:dyDescent="0.3">
      <c r="A360" s="341"/>
      <c r="B360" s="42"/>
      <c r="C360" s="53"/>
      <c r="D360" s="29"/>
      <c r="E360" s="248" t="s">
        <v>95</v>
      </c>
      <c r="F360" s="248"/>
      <c r="G360" s="248"/>
      <c r="H360" s="328">
        <f>ROUND(H359*1,3)</f>
        <v>2</v>
      </c>
      <c r="I360" s="30" t="s">
        <v>96</v>
      </c>
      <c r="J360" s="24" t="s">
        <v>22</v>
      </c>
      <c r="K360" s="323">
        <f>IF(B357="22.106.1",IF(J360="Labour Rate",11,IF(J360="Material Rate",447,IF(J360="Through Rate",457,0))),"")</f>
        <v>11</v>
      </c>
      <c r="L360" s="319">
        <f>IF(H360*K360&lt;&gt;0,H360*K360,0)</f>
        <v>22</v>
      </c>
    </row>
    <row r="361" spans="1:12" ht="13.95" customHeight="1" x14ac:dyDescent="0.3">
      <c r="A361" s="342"/>
      <c r="B361" s="32"/>
      <c r="C361" s="33"/>
      <c r="D361" s="34"/>
      <c r="E361" s="34"/>
      <c r="F361" s="35"/>
      <c r="G361" s="34"/>
      <c r="H361" s="7"/>
      <c r="I361" s="36"/>
      <c r="J361" s="8"/>
      <c r="K361" s="9"/>
      <c r="L361" s="37"/>
    </row>
    <row r="362" spans="1:12" s="273" customFormat="1" ht="51.6" x14ac:dyDescent="0.3">
      <c r="A362" s="343">
        <f>IFERROR(LOOKUP(2,1/(ISNUMBER($A$2:$A$361)),$A$2:$A$361),0)+1</f>
        <v>43</v>
      </c>
      <c r="B362" s="275" t="s">
        <v>128</v>
      </c>
      <c r="C362" s="308" t="s">
        <v>153</v>
      </c>
      <c r="D362" s="282"/>
      <c r="E362" s="283"/>
      <c r="F362" s="284"/>
      <c r="G362" s="283"/>
      <c r="H362" s="7"/>
      <c r="I362" s="285"/>
      <c r="J362" s="8"/>
      <c r="K362" s="9"/>
      <c r="L362" s="286"/>
    </row>
    <row r="363" spans="1:12" ht="15.6" x14ac:dyDescent="0.3">
      <c r="A363" s="339"/>
      <c r="B363" s="6"/>
      <c r="C363" s="165"/>
      <c r="D363" s="12">
        <v>2</v>
      </c>
      <c r="E363" s="12">
        <v>1</v>
      </c>
      <c r="F363" s="13"/>
      <c r="G363" s="12"/>
      <c r="H363" s="246">
        <f>D363*IF(OR(E363=0,E363="-"),1,E363)*IF(OR(F363=0,F363="-"),1,F363)*IF(OR(G363=0,G363="-"),1,G363)</f>
        <v>2</v>
      </c>
      <c r="I363" s="14" t="s">
        <v>94</v>
      </c>
      <c r="J363" s="15"/>
      <c r="K363" s="16"/>
      <c r="L363" s="17"/>
    </row>
    <row r="364" spans="1:12" ht="15.6" x14ac:dyDescent="0.3">
      <c r="A364" s="340"/>
      <c r="B364" s="40"/>
      <c r="C364" s="52"/>
      <c r="D364" s="21"/>
      <c r="E364" s="21"/>
      <c r="F364" s="251" t="s">
        <v>95</v>
      </c>
      <c r="G364" s="251"/>
      <c r="H364" s="245">
        <f>SUM(H363:INDEX(H:H,ROW()-1))</f>
        <v>2</v>
      </c>
      <c r="I364" s="23" t="s">
        <v>94</v>
      </c>
      <c r="J364" s="24"/>
      <c r="K364" s="322">
        <f>0</f>
        <v>0</v>
      </c>
      <c r="L364" s="25"/>
    </row>
    <row r="365" spans="1:12" ht="31.2" x14ac:dyDescent="0.3">
      <c r="A365" s="341"/>
      <c r="B365" s="42"/>
      <c r="C365" s="53"/>
      <c r="D365" s="29"/>
      <c r="E365" s="248" t="s">
        <v>95</v>
      </c>
      <c r="F365" s="248"/>
      <c r="G365" s="248"/>
      <c r="H365" s="328">
        <f>ROUND(H364*1,3)</f>
        <v>2</v>
      </c>
      <c r="I365" s="30" t="s">
        <v>96</v>
      </c>
      <c r="J365" s="24" t="s">
        <v>22</v>
      </c>
      <c r="K365" s="323">
        <f>IF(B362="22.104.1",IF(J365="Labour Rate",9,IF(J365="Material Rate",337,IF(J365="Through Rate",346,0))),"")</f>
        <v>9</v>
      </c>
      <c r="L365" s="319">
        <f>IF(H365*K365&lt;&gt;0,H365*K365,0)</f>
        <v>18</v>
      </c>
    </row>
    <row r="366" spans="1:12" ht="13.95" customHeight="1" x14ac:dyDescent="0.3">
      <c r="A366" s="342"/>
      <c r="B366" s="32"/>
      <c r="C366" s="33"/>
      <c r="D366" s="34"/>
      <c r="E366" s="34"/>
      <c r="F366" s="35"/>
      <c r="G366" s="34"/>
      <c r="H366" s="7"/>
      <c r="I366" s="36"/>
      <c r="J366" s="8"/>
      <c r="K366" s="9"/>
      <c r="L366" s="37"/>
    </row>
    <row r="367" spans="1:12" s="273" customFormat="1" ht="75.599999999999994" x14ac:dyDescent="0.3">
      <c r="A367" s="343">
        <f>IFERROR(LOOKUP(2,1/(ISNUMBER($A$2:$A$366)),$A$2:$A$366),0)+1</f>
        <v>44</v>
      </c>
      <c r="B367" s="268" t="s">
        <v>129</v>
      </c>
      <c r="C367" s="309" t="s">
        <v>152</v>
      </c>
      <c r="D367" s="278"/>
      <c r="E367" s="279"/>
      <c r="F367" s="279"/>
      <c r="G367" s="279"/>
      <c r="H367" s="117"/>
      <c r="I367" s="280"/>
      <c r="J367" s="118"/>
      <c r="K367" s="119"/>
      <c r="L367" s="281"/>
    </row>
    <row r="368" spans="1:12" ht="15.6" x14ac:dyDescent="0.3">
      <c r="A368" s="339"/>
      <c r="B368" s="154"/>
      <c r="C368" s="155"/>
      <c r="D368" s="156">
        <v>1</v>
      </c>
      <c r="E368" s="155">
        <f>(141+128.5)/2</f>
        <v>134.75</v>
      </c>
      <c r="F368" s="155">
        <f>(63+58)/2</f>
        <v>60.5</v>
      </c>
      <c r="G368" s="155"/>
      <c r="H368" s="331">
        <f>D368*IF(OR(E368=0,E368="-"),1,E368)*IF(OR(F368=0,F368="-"),1,F368)*IF(OR(G368=0,G368="-"),1,G368)</f>
        <v>8152.375</v>
      </c>
      <c r="I368" s="157" t="s">
        <v>61</v>
      </c>
      <c r="J368" s="121"/>
      <c r="K368" s="122"/>
      <c r="L368" s="170"/>
    </row>
    <row r="369" spans="1:12" ht="15.6" x14ac:dyDescent="0.3">
      <c r="A369" s="339"/>
      <c r="B369" s="154"/>
      <c r="C369" s="155" t="s">
        <v>130</v>
      </c>
      <c r="D369" s="156">
        <v>-1</v>
      </c>
      <c r="E369" s="155">
        <f>38.5+1.5</f>
        <v>40</v>
      </c>
      <c r="F369" s="155">
        <f>30.5+1.5</f>
        <v>32</v>
      </c>
      <c r="G369" s="155"/>
      <c r="H369" s="331">
        <f>D369*IF(OR(E369=0,E369="-"),1,E369)*IF(OR(F369=0,F369="-"),1,F369)*IF(OR(G369=0,G369="-"),1,G369)</f>
        <v>-1280</v>
      </c>
      <c r="I369" s="157" t="s">
        <v>61</v>
      </c>
      <c r="J369" s="121"/>
      <c r="K369" s="122"/>
      <c r="L369" s="170"/>
    </row>
    <row r="370" spans="1:12" ht="15.6" x14ac:dyDescent="0.3">
      <c r="A370" s="339"/>
      <c r="B370" s="154"/>
      <c r="C370" s="155" t="s">
        <v>48</v>
      </c>
      <c r="D370" s="156">
        <v>-1</v>
      </c>
      <c r="E370" s="155">
        <v>14.5</v>
      </c>
      <c r="F370" s="155">
        <f>6.75+0.75</f>
        <v>7.5</v>
      </c>
      <c r="G370" s="155"/>
      <c r="H370" s="331">
        <f>D370*IF(OR(E370=0,E370="-"),1,E370)*IF(OR(F370=0,F370="-"),1,F370)*IF(OR(G370=0,G370="-"),1,G370)</f>
        <v>-108.75</v>
      </c>
      <c r="I370" s="157" t="s">
        <v>61</v>
      </c>
      <c r="J370" s="121"/>
      <c r="K370" s="122"/>
      <c r="L370" s="170"/>
    </row>
    <row r="371" spans="1:12" ht="15.6" x14ac:dyDescent="0.3">
      <c r="A371" s="339"/>
      <c r="B371" s="154"/>
      <c r="C371" s="155" t="s">
        <v>24</v>
      </c>
      <c r="D371" s="156">
        <v>-1</v>
      </c>
      <c r="E371" s="155">
        <v>11.5</v>
      </c>
      <c r="F371" s="155">
        <v>6.5</v>
      </c>
      <c r="G371" s="155"/>
      <c r="H371" s="331">
        <f>D371*IF(OR(E371=0,E371="-"),1,E371)*IF(OR(F371=0,F371="-"),1,F371)*IF(OR(G371=0,G371="-"),1,G371)</f>
        <v>-74.75</v>
      </c>
      <c r="I371" s="157" t="s">
        <v>61</v>
      </c>
      <c r="J371" s="121"/>
      <c r="K371" s="122"/>
      <c r="L371" s="170"/>
    </row>
    <row r="372" spans="1:12" ht="15.6" x14ac:dyDescent="0.3">
      <c r="A372" s="339"/>
      <c r="B372" s="154"/>
      <c r="C372" s="155"/>
      <c r="D372" s="156">
        <v>-1</v>
      </c>
      <c r="E372" s="155">
        <v>7.5</v>
      </c>
      <c r="F372" s="155">
        <v>7.5</v>
      </c>
      <c r="G372" s="155"/>
      <c r="H372" s="331">
        <f>D372*IF(OR(E372=0,E372="-"),1,E372)*IF(OR(F372=0,F372="-"),1,F372)*IF(OR(G372=0,G372="-"),1,G372)</f>
        <v>-56.25</v>
      </c>
      <c r="I372" s="157" t="s">
        <v>61</v>
      </c>
      <c r="J372" s="121"/>
      <c r="K372" s="122"/>
      <c r="L372" s="170"/>
    </row>
    <row r="373" spans="1:12" ht="15.6" x14ac:dyDescent="0.3">
      <c r="A373" s="340"/>
      <c r="B373" s="124"/>
      <c r="C373" s="125"/>
      <c r="D373" s="124"/>
      <c r="E373" s="125"/>
      <c r="F373" s="253" t="s">
        <v>62</v>
      </c>
      <c r="G373" s="253"/>
      <c r="H373" s="333">
        <f>SUM(H368:INDEX(H:H,ROW()-1))</f>
        <v>6632.625</v>
      </c>
      <c r="I373" s="126" t="s">
        <v>61</v>
      </c>
      <c r="J373" s="104"/>
      <c r="K373" s="325">
        <f>0</f>
        <v>0</v>
      </c>
      <c r="L373" s="127"/>
    </row>
    <row r="374" spans="1:12" ht="28.8" x14ac:dyDescent="0.3">
      <c r="A374" s="341"/>
      <c r="B374" s="100"/>
      <c r="C374" s="101"/>
      <c r="D374" s="100"/>
      <c r="E374" s="254" t="s">
        <v>63</v>
      </c>
      <c r="F374" s="254"/>
      <c r="G374" s="254"/>
      <c r="H374" s="333">
        <f>ROUND(H373*0.0929,3)</f>
        <v>616.17100000000005</v>
      </c>
      <c r="I374" s="103" t="s">
        <v>64</v>
      </c>
      <c r="J374" s="104" t="s">
        <v>22</v>
      </c>
      <c r="K374" s="326">
        <f>IF(B367="4.7.1.2",IF(J374="Labour Rate",38,IF(J374="Through Rate",38,0)),"")</f>
        <v>38</v>
      </c>
      <c r="L374" s="321">
        <f>IF(H374*K374&lt;&gt;0,H374*K374,0)</f>
        <v>23414.498000000003</v>
      </c>
    </row>
    <row r="375" spans="1:12" ht="13.95" customHeight="1" x14ac:dyDescent="0.3">
      <c r="A375" s="342"/>
      <c r="B375" s="167"/>
      <c r="C375" s="130"/>
      <c r="D375" s="131"/>
      <c r="E375" s="130"/>
      <c r="F375" s="130"/>
      <c r="G375" s="130"/>
      <c r="H375" s="117"/>
      <c r="I375" s="133"/>
      <c r="J375" s="118"/>
      <c r="K375" s="119"/>
      <c r="L375" s="168"/>
    </row>
    <row r="376" spans="1:12" s="273" customFormat="1" ht="65.400000000000006" x14ac:dyDescent="0.3">
      <c r="A376" s="343">
        <f>IFERROR(LOOKUP(2,1/(ISNUMBER($A$2:$A$375)),$A$2:$A$375),0)+1</f>
        <v>45</v>
      </c>
      <c r="B376" s="275" t="s">
        <v>131</v>
      </c>
      <c r="C376" s="309" t="s">
        <v>151</v>
      </c>
      <c r="D376" s="276"/>
      <c r="E376" s="276"/>
      <c r="F376" s="276" t="s">
        <v>132</v>
      </c>
      <c r="G376" s="276"/>
      <c r="H376" s="195"/>
      <c r="I376" s="274"/>
      <c r="J376" s="196"/>
      <c r="K376" s="115"/>
      <c r="L376" s="277"/>
    </row>
    <row r="377" spans="1:12" ht="15.6" x14ac:dyDescent="0.3">
      <c r="A377" s="339"/>
      <c r="B377" s="198"/>
      <c r="C377" s="199"/>
      <c r="D377" s="199">
        <v>1</v>
      </c>
      <c r="E377" s="199">
        <v>50</v>
      </c>
      <c r="F377" s="199">
        <f>(11.125+11.125)/2</f>
        <v>11.125</v>
      </c>
      <c r="G377" s="199"/>
      <c r="H377" s="337">
        <f>D377*IF(OR(E377=0,E377="-"),1,E377)*IF(OR(F377=0,F377="-"),1,F377)*IF(OR(G377=0,G377="-"),1,G377)</f>
        <v>556.25</v>
      </c>
      <c r="I377" s="200" t="s">
        <v>61</v>
      </c>
      <c r="J377" s="196"/>
      <c r="K377" s="115"/>
      <c r="L377" s="197"/>
    </row>
    <row r="378" spans="1:12" ht="15.6" x14ac:dyDescent="0.3">
      <c r="A378" s="339"/>
      <c r="B378" s="198"/>
      <c r="C378" s="199"/>
      <c r="D378" s="199">
        <v>1</v>
      </c>
      <c r="E378" s="199">
        <v>27</v>
      </c>
      <c r="F378" s="199">
        <f>(11.125+12)/2</f>
        <v>11.5625</v>
      </c>
      <c r="G378" s="199"/>
      <c r="H378" s="337">
        <f>D378*IF(OR(E378=0,E378="-"),1,E378)*IF(OR(F378=0,F378="-"),1,F378)*IF(OR(G378=0,G378="-"),1,G378)</f>
        <v>312.1875</v>
      </c>
      <c r="I378" s="200" t="s">
        <v>61</v>
      </c>
      <c r="J378" s="196"/>
      <c r="K378" s="115"/>
      <c r="L378" s="197"/>
    </row>
    <row r="379" spans="1:12" ht="15.6" x14ac:dyDescent="0.3">
      <c r="A379" s="339"/>
      <c r="B379" s="198"/>
      <c r="C379" s="199"/>
      <c r="D379" s="199">
        <v>1</v>
      </c>
      <c r="E379" s="199">
        <v>9.25</v>
      </c>
      <c r="F379" s="199">
        <f>(12+24.5)/2</f>
        <v>18.25</v>
      </c>
      <c r="G379" s="199"/>
      <c r="H379" s="337">
        <f>D379*IF(OR(E379=0,E379="-"),1,E379)*IF(OR(F379=0,F379="-"),1,F379)*IF(OR(G379=0,G379="-"),1,G379)</f>
        <v>168.8125</v>
      </c>
      <c r="I379" s="200" t="s">
        <v>61</v>
      </c>
      <c r="J379" s="196"/>
      <c r="K379" s="115"/>
      <c r="L379" s="197"/>
    </row>
    <row r="380" spans="1:12" ht="15.6" x14ac:dyDescent="0.3">
      <c r="A380" s="339"/>
      <c r="B380" s="198"/>
      <c r="C380" s="199"/>
      <c r="D380" s="199">
        <v>1</v>
      </c>
      <c r="E380" s="199">
        <v>26</v>
      </c>
      <c r="F380" s="199">
        <f>(13.75+15.125)/2</f>
        <v>14.4375</v>
      </c>
      <c r="G380" s="199"/>
      <c r="H380" s="337">
        <f>D380*IF(OR(E380=0,E380="-"),1,E380)*IF(OR(F380=0,F380="-"),1,F380)*IF(OR(G380=0,G380="-"),1,G380)</f>
        <v>375.375</v>
      </c>
      <c r="I380" s="200" t="s">
        <v>61</v>
      </c>
      <c r="J380" s="196"/>
      <c r="K380" s="115"/>
      <c r="L380" s="197"/>
    </row>
    <row r="381" spans="1:12" ht="15.6" x14ac:dyDescent="0.3">
      <c r="A381" s="339"/>
      <c r="B381" s="198"/>
      <c r="C381" s="199"/>
      <c r="D381" s="199">
        <v>1</v>
      </c>
      <c r="E381" s="199">
        <v>21.25</v>
      </c>
      <c r="F381" s="199">
        <f>(16.75+18.25)/2</f>
        <v>17.5</v>
      </c>
      <c r="G381" s="199"/>
      <c r="H381" s="337">
        <f>D381*IF(OR(E381=0,E381="-"),1,E381)*IF(OR(F381=0,F381="-"),1,F381)*IF(OR(G381=0,G381="-"),1,G381)</f>
        <v>371.875</v>
      </c>
      <c r="I381" s="200" t="s">
        <v>61</v>
      </c>
      <c r="J381" s="196"/>
      <c r="K381" s="115"/>
      <c r="L381" s="197"/>
    </row>
    <row r="382" spans="1:12" ht="15.6" x14ac:dyDescent="0.3">
      <c r="A382" s="339"/>
      <c r="B382" s="198"/>
      <c r="C382" s="199"/>
      <c r="D382" s="199">
        <v>1</v>
      </c>
      <c r="E382" s="199">
        <v>4.75</v>
      </c>
      <c r="F382" s="199">
        <f>(8.125+8.125)/2</f>
        <v>8.125</v>
      </c>
      <c r="G382" s="199"/>
      <c r="H382" s="337">
        <f>D382*IF(OR(E382=0,E382="-"),1,E382)*IF(OR(F382=0,F382="-"),1,F382)*IF(OR(G382=0,G382="-"),1,G382)</f>
        <v>38.59375</v>
      </c>
      <c r="I382" s="200" t="s">
        <v>61</v>
      </c>
      <c r="J382" s="196"/>
      <c r="K382" s="115"/>
      <c r="L382" s="197"/>
    </row>
    <row r="383" spans="1:12" ht="15.6" x14ac:dyDescent="0.3">
      <c r="A383" s="339"/>
      <c r="B383" s="198"/>
      <c r="C383" s="199"/>
      <c r="D383" s="199">
        <v>0.5</v>
      </c>
      <c r="E383" s="199">
        <f>18.25-4.75</f>
        <v>13.5</v>
      </c>
      <c r="F383" s="199">
        <f>(8.125+8.125)/2</f>
        <v>8.125</v>
      </c>
      <c r="G383" s="199"/>
      <c r="H383" s="337">
        <f>D383*IF(OR(E383=0,E383="-"),1,E383)*IF(OR(F383=0,F383="-"),1,F383)*IF(OR(G383=0,G383="-"),1,G383)</f>
        <v>54.84375</v>
      </c>
      <c r="I383" s="200" t="s">
        <v>61</v>
      </c>
      <c r="J383" s="196"/>
      <c r="K383" s="115"/>
      <c r="L383" s="197"/>
    </row>
    <row r="384" spans="1:12" ht="15.6" x14ac:dyDescent="0.3">
      <c r="A384" s="340"/>
      <c r="B384" s="201"/>
      <c r="C384" s="201"/>
      <c r="D384" s="201"/>
      <c r="E384" s="201"/>
      <c r="F384" s="249" t="s">
        <v>62</v>
      </c>
      <c r="G384" s="249"/>
      <c r="H384" s="338">
        <f>SUM(H377:INDEX(H:H,ROW()-1))</f>
        <v>1877.9375</v>
      </c>
      <c r="I384" s="202" t="s">
        <v>61</v>
      </c>
      <c r="J384" s="203"/>
      <c r="K384" s="327">
        <f>0</f>
        <v>0</v>
      </c>
      <c r="L384" s="204"/>
    </row>
    <row r="385" spans="1:12" ht="31.2" x14ac:dyDescent="0.3">
      <c r="A385" s="341"/>
      <c r="B385" s="112"/>
      <c r="C385" s="112"/>
      <c r="D385" s="112"/>
      <c r="E385" s="250" t="s">
        <v>63</v>
      </c>
      <c r="F385" s="250"/>
      <c r="G385" s="250"/>
      <c r="H385" s="332">
        <f>ROUND(H384*0.0929,3)</f>
        <v>174.46</v>
      </c>
      <c r="I385" s="205" t="s">
        <v>64</v>
      </c>
      <c r="J385" s="203" t="s">
        <v>22</v>
      </c>
      <c r="K385" s="324">
        <f>IF(B376="4.4.1",IF(J385="Labour Rate",11,IF(J385="Through Rate",11,0)),"")</f>
        <v>11</v>
      </c>
      <c r="L385" s="320">
        <f>IF(H385*K385&lt;&gt;0,H385*K385,0)</f>
        <v>1919.0600000000002</v>
      </c>
    </row>
    <row r="386" spans="1:12" ht="13.95" customHeight="1" x14ac:dyDescent="0.3">
      <c r="A386" s="342"/>
      <c r="B386" s="206"/>
      <c r="C386" s="207"/>
      <c r="D386" s="207"/>
      <c r="E386" s="207"/>
      <c r="F386" s="207"/>
      <c r="G386" s="207"/>
      <c r="H386" s="208"/>
      <c r="I386" s="209"/>
      <c r="J386" s="210"/>
      <c r="K386" s="211"/>
      <c r="L386" s="212"/>
    </row>
    <row r="387" spans="1:12" s="273" customFormat="1" ht="123.6" x14ac:dyDescent="0.3">
      <c r="A387" s="343">
        <f>IFERROR(LOOKUP(2,1/(ISNUMBER($A$2:$A$386)),$A$2:$A$386),0)+1</f>
        <v>46</v>
      </c>
      <c r="B387" s="268" t="s">
        <v>133</v>
      </c>
      <c r="C387" s="309" t="s">
        <v>150</v>
      </c>
      <c r="D387" s="269"/>
      <c r="E387" s="270"/>
      <c r="F387" s="270"/>
      <c r="G387" s="270"/>
      <c r="H387" s="213"/>
      <c r="I387" s="271"/>
      <c r="J387" s="210"/>
      <c r="K387" s="214"/>
      <c r="L387" s="272"/>
    </row>
    <row r="388" spans="1:12" ht="15.6" x14ac:dyDescent="0.3">
      <c r="A388" s="339"/>
      <c r="B388" s="10"/>
      <c r="C388" s="215" t="s">
        <v>134</v>
      </c>
      <c r="D388" s="199">
        <v>1</v>
      </c>
      <c r="E388" s="199">
        <v>1</v>
      </c>
      <c r="F388" s="216">
        <f>H384</f>
        <v>1877.9375</v>
      </c>
      <c r="G388" s="217">
        <v>0.58299999999999996</v>
      </c>
      <c r="H388" s="246">
        <f>D388*IF(OR(E388=0,E388="-"),1,E388)*IF(OR(F388=0,F388="-"),1,F388)*IF(OR(G388=0,G388="-"),1,G388)</f>
        <v>1094.8375624999999</v>
      </c>
      <c r="I388" s="218" t="s">
        <v>14</v>
      </c>
      <c r="J388" s="196"/>
      <c r="K388" s="31"/>
      <c r="L388" s="219"/>
    </row>
    <row r="389" spans="1:12" ht="15.6" x14ac:dyDescent="0.3">
      <c r="A389" s="340"/>
      <c r="B389" s="19"/>
      <c r="C389" s="220"/>
      <c r="D389" s="19"/>
      <c r="E389" s="22"/>
      <c r="F389" s="251" t="s">
        <v>17</v>
      </c>
      <c r="G389" s="251"/>
      <c r="H389" s="245">
        <f>SUM(H388:INDEX(H:H,ROW()-1))</f>
        <v>1094.8375624999999</v>
      </c>
      <c r="I389" s="221" t="s">
        <v>14</v>
      </c>
      <c r="J389" s="203"/>
      <c r="K389" s="322">
        <f>0</f>
        <v>0</v>
      </c>
      <c r="L389" s="222"/>
    </row>
    <row r="390" spans="1:12" ht="62.4" x14ac:dyDescent="0.3">
      <c r="A390" s="341"/>
      <c r="B390" s="27"/>
      <c r="C390" s="223"/>
      <c r="D390" s="27"/>
      <c r="E390" s="252" t="s">
        <v>18</v>
      </c>
      <c r="F390" s="252"/>
      <c r="G390" s="252"/>
      <c r="H390" s="328">
        <f>ROUND(H389*0.0283,3)</f>
        <v>30.984000000000002</v>
      </c>
      <c r="I390" s="205" t="s">
        <v>135</v>
      </c>
      <c r="J390" s="203" t="s">
        <v>136</v>
      </c>
      <c r="K390" s="323">
        <f>IF(B387="17.23.1",IF(J390="Labour Rate Amnd",21,IF(J390="Machinery Rate Amnd",135,IF(J390="Material Rate Amnd",1032,IF(J390="Through Rate Amnd",1188,IF(J390="Labour Rate",21,IF(J390="Machinery Rate",96,IF(J390="Material Rate",921,IF(J390="Through Rate",1038,IF(J390="Labour + Machinery Rate",117,IF(J390="Labour + Machinery Rate Amnd",156,0)))))))))),"")</f>
        <v>156</v>
      </c>
      <c r="L390" s="319">
        <f>IF(H390*K390&lt;&gt;0,H390*K390,0)</f>
        <v>4833.5039999999999</v>
      </c>
    </row>
    <row r="391" spans="1:12" ht="13.95" customHeight="1" x14ac:dyDescent="0.3">
      <c r="A391" s="342"/>
      <c r="B391" s="105"/>
      <c r="C391" s="224"/>
      <c r="D391" s="225"/>
      <c r="E391" s="226"/>
      <c r="F391" s="226"/>
      <c r="G391" s="225"/>
      <c r="H391" s="213"/>
      <c r="I391" s="227"/>
      <c r="J391" s="210"/>
      <c r="K391" s="214"/>
      <c r="L391" s="228"/>
    </row>
    <row r="392" spans="1:12" s="273" customFormat="1" ht="75.599999999999994" x14ac:dyDescent="0.3">
      <c r="A392" s="343">
        <f>IFERROR(LOOKUP(2,1/(ISNUMBER($A$2:$A$391)),$A$2:$A$391),0)+1</f>
        <v>47</v>
      </c>
      <c r="B392" s="268" t="s">
        <v>137</v>
      </c>
      <c r="C392" s="313" t="s">
        <v>149</v>
      </c>
      <c r="D392" s="269"/>
      <c r="E392" s="270"/>
      <c r="F392" s="270"/>
      <c r="G392" s="270"/>
      <c r="H392" s="213"/>
      <c r="I392" s="271"/>
      <c r="J392" s="210"/>
      <c r="K392" s="214"/>
      <c r="L392" s="272"/>
    </row>
    <row r="393" spans="1:12" ht="15.6" x14ac:dyDescent="0.3">
      <c r="A393" s="339"/>
      <c r="B393" s="10"/>
      <c r="C393" s="194" t="s">
        <v>134</v>
      </c>
      <c r="D393" s="199">
        <v>1</v>
      </c>
      <c r="E393" s="199">
        <v>1</v>
      </c>
      <c r="F393" s="216">
        <f>H384</f>
        <v>1877.9375</v>
      </c>
      <c r="G393" s="199"/>
      <c r="H393" s="337">
        <f>D393*IF(OR(E393=0,E393="-"),1,E393)*IF(OR(F393=0,F393="-"),1,F393)*IF(OR(G393=0,G393="-"),1,G393)</f>
        <v>1877.9375</v>
      </c>
      <c r="I393" s="200" t="s">
        <v>61</v>
      </c>
      <c r="J393" s="196"/>
      <c r="K393" s="31"/>
      <c r="L393" s="219"/>
    </row>
    <row r="394" spans="1:12" ht="15.6" x14ac:dyDescent="0.3">
      <c r="A394" s="339"/>
      <c r="B394" s="10"/>
      <c r="C394" s="194"/>
      <c r="D394" s="199">
        <v>1</v>
      </c>
      <c r="E394" s="199">
        <v>10.5</v>
      </c>
      <c r="F394" s="199">
        <v>6</v>
      </c>
      <c r="G394" s="199"/>
      <c r="H394" s="337">
        <f>D394*IF(OR(E394=0,E394="-"),1,E394)*IF(OR(F394=0,F394="-"),1,F394)*IF(OR(G394=0,G394="-"),1,G394)</f>
        <v>63</v>
      </c>
      <c r="I394" s="200" t="s">
        <v>61</v>
      </c>
      <c r="J394" s="196"/>
      <c r="K394" s="31"/>
      <c r="L394" s="219"/>
    </row>
    <row r="395" spans="1:12" ht="15.6" x14ac:dyDescent="0.3">
      <c r="A395" s="340"/>
      <c r="B395" s="19"/>
      <c r="C395" s="111"/>
      <c r="D395" s="201"/>
      <c r="E395" s="201"/>
      <c r="F395" s="249" t="s">
        <v>62</v>
      </c>
      <c r="G395" s="249"/>
      <c r="H395" s="338">
        <f>SUM(H393:INDEX(H:H,ROW()-1))</f>
        <v>1940.9375</v>
      </c>
      <c r="I395" s="202" t="s">
        <v>61</v>
      </c>
      <c r="J395" s="203"/>
      <c r="K395" s="322">
        <f>0</f>
        <v>0</v>
      </c>
      <c r="L395" s="222"/>
    </row>
    <row r="396" spans="1:12" ht="62.4" x14ac:dyDescent="0.3">
      <c r="A396" s="341"/>
      <c r="B396" s="27"/>
      <c r="C396" s="113"/>
      <c r="D396" s="112"/>
      <c r="E396" s="250" t="s">
        <v>63</v>
      </c>
      <c r="F396" s="250"/>
      <c r="G396" s="250"/>
      <c r="H396" s="332">
        <f>ROUND(H395*0.0929,3)</f>
        <v>180.31299999999999</v>
      </c>
      <c r="I396" s="205" t="s">
        <v>64</v>
      </c>
      <c r="J396" s="203" t="s">
        <v>136</v>
      </c>
      <c r="K396" s="323">
        <f>IF(B392="17.69.3",IF(J396="Labour Rate Amnd",84,IF(J396="Machinery Rate Amnd",5,IF(J396="Material Rate Amnd",487,IF(J396="Through Rate Amnd",576,IF(J396="Labour Rate",34,IF(J396="Machinery Rate",5,IF(J396="Material Rate",487,IF(J396="Through Rate",526,IF(J396="Labour + Machinery Rate",39,IF(J396="Labour + Machinery Rate Amnd",89,0)))))))))),"")</f>
        <v>89</v>
      </c>
      <c r="L396" s="319">
        <f>IF(H396*K396&lt;&gt;0,H396*K396,0)</f>
        <v>16047.856999999998</v>
      </c>
    </row>
    <row r="397" spans="1:12" ht="13.95" customHeight="1" x14ac:dyDescent="0.3">
      <c r="A397" s="342"/>
      <c r="B397" s="105"/>
      <c r="C397" s="229"/>
      <c r="D397" s="225"/>
      <c r="E397" s="225"/>
      <c r="F397" s="225"/>
      <c r="G397" s="105"/>
      <c r="H397" s="230"/>
      <c r="I397" s="227"/>
      <c r="J397" s="231"/>
      <c r="K397" s="214"/>
      <c r="L397" s="228"/>
    </row>
    <row r="398" spans="1:12" s="273" customFormat="1" ht="79.2" x14ac:dyDescent="0.3">
      <c r="A398" s="343">
        <f>IFERROR(LOOKUP(2,1/(ISNUMBER($A$2:$A$397)),$A$2:$A$397),0)+1</f>
        <v>48</v>
      </c>
      <c r="B398" s="268" t="s">
        <v>138</v>
      </c>
      <c r="C398" s="309" t="s">
        <v>148</v>
      </c>
      <c r="D398" s="269"/>
      <c r="E398" s="270"/>
      <c r="F398" s="270"/>
      <c r="G398" s="270"/>
      <c r="H398" s="213"/>
      <c r="I398" s="271"/>
      <c r="J398" s="210"/>
      <c r="K398" s="214"/>
      <c r="L398" s="272"/>
    </row>
    <row r="399" spans="1:12" ht="15.6" x14ac:dyDescent="0.3">
      <c r="A399" s="339"/>
      <c r="B399" s="10"/>
      <c r="C399" s="199"/>
      <c r="D399" s="199">
        <v>2</v>
      </c>
      <c r="E399" s="199">
        <f>50+27+9.25</f>
        <v>86.25</v>
      </c>
      <c r="F399" s="199">
        <v>0.5</v>
      </c>
      <c r="G399" s="217">
        <v>1</v>
      </c>
      <c r="H399" s="246">
        <f>D399*IF(OR(E399=0,E399="-"),1,E399)*IF(OR(F399=0,F399="-"),1,F399)*IF(OR(G399=0,G399="-"),1,G399)</f>
        <v>86.25</v>
      </c>
      <c r="I399" s="218" t="s">
        <v>14</v>
      </c>
      <c r="J399" s="196"/>
      <c r="K399" s="31"/>
      <c r="L399" s="219"/>
    </row>
    <row r="400" spans="1:12" ht="15.6" x14ac:dyDescent="0.3">
      <c r="A400" s="339"/>
      <c r="B400" s="10"/>
      <c r="C400" s="199"/>
      <c r="D400" s="199">
        <v>1</v>
      </c>
      <c r="E400" s="199">
        <v>26</v>
      </c>
      <c r="F400" s="199">
        <v>0.5</v>
      </c>
      <c r="G400" s="217">
        <v>1</v>
      </c>
      <c r="H400" s="246">
        <f>D400*IF(OR(E400=0,E400="-"),1,E400)*IF(OR(F400=0,F400="-"),1,F400)*IF(OR(G400=0,G400="-"),1,G400)</f>
        <v>13</v>
      </c>
      <c r="I400" s="218" t="s">
        <v>14</v>
      </c>
      <c r="J400" s="196"/>
      <c r="K400" s="31"/>
      <c r="L400" s="219"/>
    </row>
    <row r="401" spans="1:12" ht="15.6" x14ac:dyDescent="0.3">
      <c r="A401" s="339"/>
      <c r="B401" s="10"/>
      <c r="C401" s="199"/>
      <c r="D401" s="199">
        <v>1</v>
      </c>
      <c r="E401" s="199">
        <v>8</v>
      </c>
      <c r="F401" s="199">
        <v>0.5</v>
      </c>
      <c r="G401" s="217">
        <v>1</v>
      </c>
      <c r="H401" s="246">
        <f>D401*IF(OR(E401=0,E401="-"),1,E401)*IF(OR(F401=0,F401="-"),1,F401)*IF(OR(G401=0,G401="-"),1,G401)</f>
        <v>4</v>
      </c>
      <c r="I401" s="218" t="s">
        <v>14</v>
      </c>
      <c r="J401" s="196"/>
      <c r="K401" s="31"/>
      <c r="L401" s="219"/>
    </row>
    <row r="402" spans="1:12" ht="15.6" x14ac:dyDescent="0.3">
      <c r="A402" s="340"/>
      <c r="B402" s="19"/>
      <c r="C402" s="111"/>
      <c r="D402" s="19"/>
      <c r="E402" s="19"/>
      <c r="F402" s="247" t="s">
        <v>17</v>
      </c>
      <c r="G402" s="247"/>
      <c r="H402" s="245">
        <f>SUM(H399:INDEX(H:H,ROW()-1))</f>
        <v>103.25</v>
      </c>
      <c r="I402" s="221" t="s">
        <v>14</v>
      </c>
      <c r="J402" s="203"/>
      <c r="K402" s="322">
        <f>0</f>
        <v>0</v>
      </c>
      <c r="L402" s="222"/>
    </row>
    <row r="403" spans="1:12" s="3" customFormat="1" ht="31.2" x14ac:dyDescent="0.3">
      <c r="A403" s="26" t="s">
        <v>139</v>
      </c>
      <c r="B403" s="27"/>
      <c r="C403" s="113"/>
      <c r="D403" s="27"/>
      <c r="E403" s="248" t="s">
        <v>18</v>
      </c>
      <c r="F403" s="248"/>
      <c r="G403" s="248"/>
      <c r="H403" s="328">
        <f>ROUND(H402*0.0283,3)</f>
        <v>2.9220000000000002</v>
      </c>
      <c r="I403" s="205" t="s">
        <v>19</v>
      </c>
      <c r="J403" s="203" t="s">
        <v>22</v>
      </c>
      <c r="K403" s="323">
        <f>IF(B398="6.39.1",IF(J403="Labour Rate",797,IF(J403="Material Rate",3338,IF(J403="Through Rate",4135,0))),"")</f>
        <v>797</v>
      </c>
      <c r="L403" s="319">
        <f>IF(H403*K403&lt;&gt;0,H403*K403,0)</f>
        <v>2328.8340000000003</v>
      </c>
    </row>
    <row r="404" spans="1:12" ht="13.95" customHeight="1" thickBot="1" x14ac:dyDescent="0.35">
      <c r="A404" s="353"/>
      <c r="B404" s="354"/>
      <c r="C404" s="355"/>
      <c r="D404" s="356"/>
      <c r="E404" s="355"/>
      <c r="F404" s="355"/>
      <c r="G404" s="355"/>
      <c r="H404" s="356"/>
      <c r="I404" s="355"/>
      <c r="J404" s="355"/>
      <c r="K404" s="355"/>
      <c r="L404" s="357"/>
    </row>
    <row r="405" spans="1:12" ht="14.4" customHeight="1" thickTop="1" x14ac:dyDescent="0.3">
      <c r="H405" s="315"/>
      <c r="I405" s="315"/>
      <c r="J405" s="232" t="s">
        <v>140</v>
      </c>
      <c r="K405" s="233"/>
      <c r="L405" s="234">
        <f>SUM(L3:INDEX(L:L,ROW()-1))</f>
        <v>337465.35600000003</v>
      </c>
    </row>
    <row r="406" spans="1:12" ht="14.4" customHeight="1" x14ac:dyDescent="0.3">
      <c r="H406" s="315"/>
      <c r="I406" s="315"/>
      <c r="J406" s="235" t="s">
        <v>141</v>
      </c>
      <c r="K406" s="236"/>
      <c r="L406" s="237">
        <f>$L$405*0.18</f>
        <v>60743.764080000001</v>
      </c>
    </row>
    <row r="407" spans="1:12" ht="14.4" customHeight="1" x14ac:dyDescent="0.3">
      <c r="H407" s="315"/>
      <c r="I407" s="315"/>
      <c r="J407" s="235" t="s">
        <v>142</v>
      </c>
      <c r="K407" s="236"/>
      <c r="L407" s="237">
        <f>$L$405+$L$406</f>
        <v>398209.12008000002</v>
      </c>
    </row>
    <row r="408" spans="1:12" ht="14.4" customHeight="1" x14ac:dyDescent="0.3">
      <c r="H408" s="315"/>
      <c r="I408" s="315"/>
      <c r="J408" s="235" t="s">
        <v>143</v>
      </c>
      <c r="K408" s="236"/>
      <c r="L408" s="237">
        <f>$L$407*0.01</f>
        <v>3982.0912008000005</v>
      </c>
    </row>
    <row r="409" spans="1:12" ht="14.4" customHeight="1" thickBot="1" x14ac:dyDescent="0.35">
      <c r="H409" s="315"/>
      <c r="I409" s="315"/>
      <c r="J409" s="238" t="s">
        <v>144</v>
      </c>
      <c r="K409" s="239"/>
      <c r="L409" s="240">
        <f>$L$407+$L$408</f>
        <v>402191.21128079999</v>
      </c>
    </row>
    <row r="410" spans="1:12" ht="14.4" customHeight="1" thickTop="1" x14ac:dyDescent="0.3">
      <c r="H410" s="315"/>
      <c r="I410" s="315"/>
      <c r="J410" s="241" t="s">
        <v>145</v>
      </c>
      <c r="K410" s="242"/>
      <c r="L410" s="243"/>
    </row>
    <row r="411" spans="1:12" ht="36" x14ac:dyDescent="0.3">
      <c r="H411" s="315"/>
      <c r="I411" s="316" t="s">
        <v>146</v>
      </c>
      <c r="J411" s="317" t="str">
        <f>IF(L409&gt;=10000000,ROUND(L409/10000000,2)&amp;" Crore",IF(L409&gt;=100000,ROUND(L409/100000,2)&amp;" Lakh",IF(L409&gt;=1000,ROUND(L409/1000,2)&amp;" Thousand",ROUND(L409,0)))) &amp; " Only"</f>
        <v>4.02 Lakh Only</v>
      </c>
      <c r="K411" s="318"/>
      <c r="L411" s="318"/>
    </row>
    <row r="412" spans="1:12" ht="14.4" customHeight="1" x14ac:dyDescent="0.3"/>
    <row r="413" spans="1:12" ht="14.4" customHeight="1" x14ac:dyDescent="0.3"/>
    <row r="414" spans="1:12" ht="14.4" customHeight="1" x14ac:dyDescent="0.3"/>
    <row r="415" spans="1:12" ht="14.4" hidden="1" customHeight="1" x14ac:dyDescent="0.3"/>
    <row r="416" spans="1:12" ht="14.4" hidden="1" customHeight="1" x14ac:dyDescent="0.3"/>
    <row r="417" ht="14.4" hidden="1" customHeight="1" x14ac:dyDescent="0.3"/>
    <row r="418" ht="14.4" hidden="1" customHeight="1" x14ac:dyDescent="0.3"/>
    <row r="419" ht="14.4" hidden="1" customHeight="1" x14ac:dyDescent="0.3"/>
    <row r="420" ht="14.4" hidden="1" customHeight="1" x14ac:dyDescent="0.3"/>
    <row r="421" ht="14.4" hidden="1" customHeight="1" x14ac:dyDescent="0.3"/>
    <row r="422" ht="14.4" hidden="1" customHeight="1" x14ac:dyDescent="0.3"/>
    <row r="423" ht="14.4" hidden="1" customHeight="1" x14ac:dyDescent="0.3"/>
    <row r="424" ht="14.4" hidden="1" customHeight="1" x14ac:dyDescent="0.3"/>
    <row r="425" ht="14.4" hidden="1" customHeight="1" x14ac:dyDescent="0.3"/>
    <row r="426" ht="14.4" hidden="1" customHeight="1" x14ac:dyDescent="0.3"/>
    <row r="427" ht="14.4" hidden="1" customHeight="1" x14ac:dyDescent="0.3"/>
    <row r="428" ht="14.4" hidden="1" customHeight="1" x14ac:dyDescent="0.3"/>
    <row r="429" ht="14.4" hidden="1" customHeight="1" x14ac:dyDescent="0.3"/>
    <row r="430" ht="14.4" hidden="1" customHeight="1" x14ac:dyDescent="0.3"/>
    <row r="431" ht="14.4" hidden="1" customHeight="1" x14ac:dyDescent="0.3"/>
    <row r="432" ht="14.4" hidden="1" customHeight="1" x14ac:dyDescent="0.3"/>
    <row r="433" ht="14.4" hidden="1" customHeight="1" x14ac:dyDescent="0.3"/>
    <row r="434" ht="14.4" hidden="1" customHeight="1" x14ac:dyDescent="0.3"/>
    <row r="435" ht="14.4" hidden="1" customHeight="1" x14ac:dyDescent="0.3"/>
    <row r="436" ht="14.4" hidden="1" customHeight="1" x14ac:dyDescent="0.3"/>
    <row r="437" ht="14.4" hidden="1" customHeight="1" x14ac:dyDescent="0.3"/>
    <row r="438" ht="14.4" hidden="1" customHeight="1" x14ac:dyDescent="0.3"/>
    <row r="439" ht="14.4" hidden="1" customHeight="1" x14ac:dyDescent="0.3"/>
    <row r="440" ht="14.4" hidden="1" customHeight="1" x14ac:dyDescent="0.3"/>
    <row r="441" ht="14.4" hidden="1" customHeight="1" x14ac:dyDescent="0.3"/>
    <row r="442" ht="14.4" hidden="1" customHeight="1" x14ac:dyDescent="0.3"/>
    <row r="443" ht="14.4" hidden="1" customHeight="1" x14ac:dyDescent="0.3"/>
    <row r="444" ht="14.4" hidden="1" customHeight="1" x14ac:dyDescent="0.3"/>
    <row r="445" ht="14.4" hidden="1" customHeight="1" x14ac:dyDescent="0.3"/>
    <row r="446" ht="14.4" hidden="1" customHeight="1" x14ac:dyDescent="0.3"/>
    <row r="447" ht="14.4" hidden="1" customHeight="1" x14ac:dyDescent="0.3"/>
    <row r="448" ht="14.4" hidden="1" customHeight="1" x14ac:dyDescent="0.3"/>
    <row r="449" ht="14.4" hidden="1" customHeight="1" x14ac:dyDescent="0.3"/>
    <row r="450" ht="14.4" hidden="1" customHeight="1" x14ac:dyDescent="0.3"/>
    <row r="451" ht="14.4" hidden="1" customHeight="1" x14ac:dyDescent="0.3"/>
    <row r="452" ht="14.4" hidden="1" customHeight="1" x14ac:dyDescent="0.3"/>
    <row r="453" ht="14.4" hidden="1" customHeight="1" x14ac:dyDescent="0.3"/>
    <row r="454" ht="14.4" hidden="1" customHeight="1" x14ac:dyDescent="0.3"/>
    <row r="455" ht="14.4" hidden="1" customHeight="1" x14ac:dyDescent="0.3"/>
    <row r="456" ht="14.4" hidden="1" customHeight="1" x14ac:dyDescent="0.3"/>
    <row r="457" ht="14.4" hidden="1" customHeight="1" x14ac:dyDescent="0.3"/>
    <row r="458" ht="14.4" hidden="1" customHeight="1" x14ac:dyDescent="0.3"/>
    <row r="459" ht="14.4" hidden="1" customHeight="1" x14ac:dyDescent="0.3"/>
    <row r="460" ht="14.4" hidden="1" customHeight="1" x14ac:dyDescent="0.3"/>
    <row r="461" ht="14.4" hidden="1" customHeight="1" x14ac:dyDescent="0.3"/>
    <row r="462" ht="14.4" hidden="1" customHeight="1" x14ac:dyDescent="0.3"/>
    <row r="463" ht="14.4" hidden="1" customHeight="1" x14ac:dyDescent="0.3"/>
    <row r="464" ht="14.4" hidden="1" customHeight="1" x14ac:dyDescent="0.3"/>
    <row r="465" ht="14.4" hidden="1" customHeight="1" x14ac:dyDescent="0.3"/>
    <row r="466" ht="14.4" hidden="1" customHeight="1" x14ac:dyDescent="0.3"/>
    <row r="467" ht="14.4" hidden="1" customHeight="1" x14ac:dyDescent="0.3"/>
    <row r="468" ht="14.4" hidden="1" customHeight="1" x14ac:dyDescent="0.3"/>
    <row r="469" ht="14.4" hidden="1" customHeight="1" x14ac:dyDescent="0.3"/>
    <row r="470" ht="14.4" hidden="1" customHeight="1" x14ac:dyDescent="0.3"/>
    <row r="471" ht="14.4" hidden="1" customHeight="1" x14ac:dyDescent="0.3"/>
    <row r="472" ht="14.4" hidden="1" customHeight="1" x14ac:dyDescent="0.3"/>
    <row r="473" ht="14.4" hidden="1" customHeight="1" x14ac:dyDescent="0.3"/>
    <row r="474" ht="14.4" hidden="1" customHeight="1" x14ac:dyDescent="0.3"/>
    <row r="475" ht="14.4" hidden="1" customHeight="1" x14ac:dyDescent="0.3"/>
    <row r="476" ht="14.4" hidden="1" customHeight="1" x14ac:dyDescent="0.3"/>
    <row r="477" ht="14.4" hidden="1" customHeight="1" x14ac:dyDescent="0.3"/>
    <row r="478" ht="14.4" hidden="1" customHeight="1" x14ac:dyDescent="0.3"/>
    <row r="479" ht="14.4" hidden="1" customHeight="1" x14ac:dyDescent="0.3"/>
    <row r="480" ht="14.4" hidden="1" customHeight="1" x14ac:dyDescent="0.3"/>
    <row r="481" ht="14.4" hidden="1" customHeight="1" x14ac:dyDescent="0.3"/>
    <row r="482" ht="14.4" hidden="1" customHeight="1" x14ac:dyDescent="0.3"/>
    <row r="483" ht="14.4" hidden="1" customHeight="1" x14ac:dyDescent="0.3"/>
    <row r="484" ht="14.4" hidden="1" customHeight="1" x14ac:dyDescent="0.3"/>
    <row r="485" ht="14.4" hidden="1" customHeight="1" x14ac:dyDescent="0.3"/>
    <row r="486" ht="14.4" hidden="1" customHeight="1" x14ac:dyDescent="0.3"/>
    <row r="487" ht="14.4" hidden="1" customHeight="1" x14ac:dyDescent="0.3"/>
    <row r="488" ht="14.4" hidden="1" customHeight="1" x14ac:dyDescent="0.3"/>
    <row r="489" ht="14.4" hidden="1" customHeight="1" x14ac:dyDescent="0.3"/>
    <row r="490" ht="14.4" hidden="1" customHeight="1" x14ac:dyDescent="0.3"/>
    <row r="491" ht="14.4" hidden="1" customHeight="1" x14ac:dyDescent="0.3"/>
    <row r="492" ht="14.4" hidden="1" customHeight="1" x14ac:dyDescent="0.3"/>
    <row r="493" ht="14.4" hidden="1" customHeight="1" x14ac:dyDescent="0.3"/>
    <row r="494" ht="14.4" hidden="1" customHeight="1" x14ac:dyDescent="0.3"/>
    <row r="495" ht="14.4" hidden="1" customHeight="1" x14ac:dyDescent="0.3"/>
    <row r="496" ht="14.4" hidden="1" customHeight="1" x14ac:dyDescent="0.3"/>
    <row r="497" ht="14.4" hidden="1" customHeight="1" x14ac:dyDescent="0.3"/>
    <row r="498" ht="14.4" hidden="1" customHeight="1" x14ac:dyDescent="0.3"/>
    <row r="499" ht="14.4" hidden="1" customHeight="1" x14ac:dyDescent="0.3"/>
    <row r="500" ht="14.4" hidden="1" customHeight="1" x14ac:dyDescent="0.3"/>
    <row r="501" ht="14.4" hidden="1" customHeight="1" x14ac:dyDescent="0.3"/>
    <row r="502" ht="14.4" hidden="1" customHeight="1" x14ac:dyDescent="0.3"/>
    <row r="503" ht="14.4" hidden="1" customHeight="1" x14ac:dyDescent="0.3"/>
    <row r="504" ht="14.4" hidden="1" customHeight="1" x14ac:dyDescent="0.3"/>
    <row r="505" ht="14.4" hidden="1" customHeight="1" x14ac:dyDescent="0.3"/>
    <row r="506" ht="14.4" hidden="1" customHeight="1" x14ac:dyDescent="0.3"/>
    <row r="507" ht="14.4" hidden="1" customHeight="1" x14ac:dyDescent="0.3"/>
    <row r="508" ht="14.4" hidden="1" customHeight="1" x14ac:dyDescent="0.3"/>
    <row r="509" ht="14.4" hidden="1" customHeight="1" x14ac:dyDescent="0.3"/>
    <row r="510" ht="14.4" hidden="1" customHeight="1" x14ac:dyDescent="0.3"/>
    <row r="511" ht="14.4" hidden="1" customHeight="1" x14ac:dyDescent="0.3"/>
    <row r="512" ht="14.4" hidden="1" customHeight="1" x14ac:dyDescent="0.3"/>
    <row r="513" ht="14.4" hidden="1" customHeight="1" x14ac:dyDescent="0.3"/>
    <row r="514" ht="14.4" hidden="1" customHeight="1" x14ac:dyDescent="0.3"/>
    <row r="515" ht="14.4" hidden="1" customHeight="1" x14ac:dyDescent="0.3"/>
    <row r="516" ht="14.4" hidden="1" customHeight="1" x14ac:dyDescent="0.3"/>
    <row r="517" ht="14.4" hidden="1" customHeight="1" x14ac:dyDescent="0.3"/>
    <row r="518" ht="14.4" hidden="1" customHeight="1" x14ac:dyDescent="0.3"/>
    <row r="519" ht="14.4" hidden="1" customHeight="1" x14ac:dyDescent="0.3"/>
    <row r="520" ht="14.4" hidden="1" customHeight="1" x14ac:dyDescent="0.3"/>
    <row r="521" ht="14.4" hidden="1" customHeight="1" x14ac:dyDescent="0.3"/>
    <row r="522" ht="14.4" hidden="1" customHeight="1" x14ac:dyDescent="0.3"/>
    <row r="523" ht="14.4" hidden="1" customHeight="1" x14ac:dyDescent="0.3"/>
    <row r="524" ht="14.4" hidden="1" customHeight="1" x14ac:dyDescent="0.3"/>
    <row r="525" ht="14.4" hidden="1" customHeight="1" x14ac:dyDescent="0.3"/>
    <row r="526" ht="14.4" hidden="1" customHeight="1" x14ac:dyDescent="0.3"/>
    <row r="527" ht="14.4" hidden="1" customHeight="1" x14ac:dyDescent="0.3"/>
    <row r="528" ht="14.4" hidden="1" customHeight="1" x14ac:dyDescent="0.3"/>
    <row r="529" ht="14.4" hidden="1" customHeight="1" x14ac:dyDescent="0.3"/>
    <row r="530" ht="14.4" hidden="1" customHeight="1" x14ac:dyDescent="0.3"/>
    <row r="531" ht="14.4" hidden="1" customHeight="1" x14ac:dyDescent="0.3"/>
    <row r="532" ht="14.4" hidden="1" customHeight="1" x14ac:dyDescent="0.3"/>
    <row r="533" ht="14.4" hidden="1" customHeight="1" x14ac:dyDescent="0.3"/>
    <row r="534" ht="14.4" hidden="1" customHeight="1" x14ac:dyDescent="0.3"/>
    <row r="535" ht="14.4" hidden="1" customHeight="1" x14ac:dyDescent="0.3"/>
    <row r="536" ht="14.4" hidden="1" customHeight="1" x14ac:dyDescent="0.3"/>
    <row r="537" ht="14.4" hidden="1" customHeight="1" x14ac:dyDescent="0.3"/>
    <row r="538" ht="14.4" hidden="1" customHeight="1" x14ac:dyDescent="0.3"/>
    <row r="539" ht="14.4" hidden="1" customHeight="1" x14ac:dyDescent="0.3"/>
    <row r="540" ht="14.4" hidden="1" customHeight="1" x14ac:dyDescent="0.3"/>
    <row r="541" ht="14.4" hidden="1" customHeight="1" x14ac:dyDescent="0.3"/>
    <row r="542" ht="14.4" hidden="1" customHeight="1" x14ac:dyDescent="0.3"/>
    <row r="543" ht="14.4" hidden="1" customHeight="1" x14ac:dyDescent="0.3"/>
    <row r="544" ht="14.4" hidden="1" customHeight="1" x14ac:dyDescent="0.3"/>
    <row r="545" ht="14.4" hidden="1" customHeight="1" x14ac:dyDescent="0.3"/>
    <row r="546" ht="14.4" hidden="1" customHeight="1" x14ac:dyDescent="0.3"/>
    <row r="547" ht="14.4" hidden="1" customHeight="1" x14ac:dyDescent="0.3"/>
    <row r="548" ht="14.4" hidden="1" customHeight="1" x14ac:dyDescent="0.3"/>
    <row r="549" ht="14.4" hidden="1" customHeight="1" x14ac:dyDescent="0.3"/>
    <row r="550" ht="14.4" hidden="1" customHeight="1" x14ac:dyDescent="0.3"/>
    <row r="551" ht="14.4" hidden="1" customHeight="1" x14ac:dyDescent="0.3"/>
    <row r="552" ht="14.4" hidden="1" customHeight="1" x14ac:dyDescent="0.3"/>
    <row r="553" ht="14.4" hidden="1" customHeight="1" x14ac:dyDescent="0.3"/>
    <row r="554" ht="14.4" hidden="1" customHeight="1" x14ac:dyDescent="0.3"/>
    <row r="555" ht="14.4" hidden="1" customHeight="1" x14ac:dyDescent="0.3"/>
    <row r="556" ht="14.4" hidden="1" customHeight="1" x14ac:dyDescent="0.3"/>
    <row r="557" ht="14.4" hidden="1" customHeight="1" x14ac:dyDescent="0.3"/>
    <row r="558" ht="14.4" hidden="1" customHeight="1" x14ac:dyDescent="0.3"/>
    <row r="559" ht="14.4" hidden="1" customHeight="1" x14ac:dyDescent="0.3"/>
    <row r="560" ht="14.4" hidden="1" customHeight="1" x14ac:dyDescent="0.3"/>
    <row r="561" ht="14.4" hidden="1" customHeight="1" x14ac:dyDescent="0.3"/>
    <row r="562" ht="14.4" hidden="1" customHeight="1" x14ac:dyDescent="0.3"/>
    <row r="563" ht="14.4" hidden="1" customHeight="1" x14ac:dyDescent="0.3"/>
    <row r="564" ht="14.4" hidden="1" customHeight="1" x14ac:dyDescent="0.3"/>
    <row r="565" ht="14.4" hidden="1" customHeight="1" x14ac:dyDescent="0.3"/>
    <row r="566" ht="14.4" hidden="1" customHeight="1" x14ac:dyDescent="0.3"/>
    <row r="567" ht="14.4" hidden="1" customHeight="1" x14ac:dyDescent="0.3"/>
    <row r="568" ht="14.4" hidden="1" customHeight="1" x14ac:dyDescent="0.3"/>
    <row r="569" ht="14.4" hidden="1" customHeight="1" x14ac:dyDescent="0.3"/>
    <row r="570" ht="14.4" hidden="1" customHeight="1" x14ac:dyDescent="0.3"/>
    <row r="571" ht="14.4" hidden="1" customHeight="1" x14ac:dyDescent="0.3"/>
    <row r="572" ht="14.4" hidden="1" customHeight="1" x14ac:dyDescent="0.3"/>
    <row r="573" ht="14.4" hidden="1" customHeight="1" x14ac:dyDescent="0.3"/>
    <row r="574" ht="14.4" hidden="1" customHeight="1" x14ac:dyDescent="0.3"/>
    <row r="575" ht="14.4" hidden="1" customHeight="1" x14ac:dyDescent="0.3"/>
    <row r="576" ht="14.4" hidden="1" customHeight="1" x14ac:dyDescent="0.3"/>
    <row r="577" ht="14.4" hidden="1" customHeight="1" x14ac:dyDescent="0.3"/>
    <row r="578" ht="14.4" hidden="1" customHeight="1" x14ac:dyDescent="0.3"/>
    <row r="579" ht="14.4" hidden="1" customHeight="1" x14ac:dyDescent="0.3"/>
    <row r="580" ht="14.4" hidden="1" customHeight="1" x14ac:dyDescent="0.3"/>
    <row r="581" ht="14.4" hidden="1" customHeight="1" x14ac:dyDescent="0.3"/>
    <row r="582" ht="14.4" hidden="1" customHeight="1" x14ac:dyDescent="0.3"/>
    <row r="583" ht="14.4" hidden="1" customHeight="1" x14ac:dyDescent="0.3"/>
    <row r="584" ht="14.4" hidden="1" customHeight="1" x14ac:dyDescent="0.3"/>
    <row r="585" ht="14.4" hidden="1" customHeight="1" x14ac:dyDescent="0.3"/>
    <row r="586" ht="14.4" hidden="1" customHeight="1" x14ac:dyDescent="0.3"/>
    <row r="587" ht="14.4" hidden="1" customHeight="1" x14ac:dyDescent="0.3"/>
    <row r="588" ht="14.4" hidden="1" customHeight="1" x14ac:dyDescent="0.3"/>
    <row r="589" ht="14.4" hidden="1" customHeight="1" x14ac:dyDescent="0.3"/>
    <row r="590" ht="14.4" hidden="1" customHeight="1" x14ac:dyDescent="0.3"/>
    <row r="591" ht="14.4" hidden="1" customHeight="1" x14ac:dyDescent="0.3"/>
    <row r="592" ht="14.4" hidden="1" customHeight="1" x14ac:dyDescent="0.3"/>
    <row r="593" ht="14.4" hidden="1" customHeight="1" x14ac:dyDescent="0.3"/>
    <row r="594" ht="14.4" hidden="1" customHeight="1" x14ac:dyDescent="0.3"/>
    <row r="595" ht="14.4" hidden="1" customHeight="1" x14ac:dyDescent="0.3"/>
    <row r="596" ht="14.4" hidden="1" customHeight="1" x14ac:dyDescent="0.3"/>
    <row r="597" ht="14.4" hidden="1" customHeight="1" x14ac:dyDescent="0.3"/>
    <row r="598" ht="14.4" hidden="1" customHeight="1" x14ac:dyDescent="0.3"/>
    <row r="599" ht="14.4" hidden="1" customHeight="1" x14ac:dyDescent="0.3"/>
    <row r="600" ht="14.4" hidden="1" customHeight="1" x14ac:dyDescent="0.3"/>
    <row r="601" ht="14.4" hidden="1" customHeight="1" x14ac:dyDescent="0.3"/>
    <row r="602" ht="14.4" hidden="1" customHeight="1" x14ac:dyDescent="0.3"/>
    <row r="603" ht="14.4" hidden="1" customHeight="1" x14ac:dyDescent="0.3"/>
    <row r="604" ht="14.4" hidden="1" customHeight="1" x14ac:dyDescent="0.3"/>
    <row r="605" ht="14.4" hidden="1" customHeight="1" x14ac:dyDescent="0.3"/>
    <row r="606" ht="14.4" hidden="1" customHeight="1" x14ac:dyDescent="0.3"/>
    <row r="607" ht="14.4" hidden="1" customHeight="1" x14ac:dyDescent="0.3"/>
    <row r="608" ht="14.4" hidden="1" customHeight="1" x14ac:dyDescent="0.3"/>
    <row r="609" ht="14.4" hidden="1" customHeight="1" x14ac:dyDescent="0.3"/>
    <row r="610" ht="14.4" hidden="1" customHeight="1" x14ac:dyDescent="0.3"/>
    <row r="611" ht="14.4" hidden="1" customHeight="1" x14ac:dyDescent="0.3"/>
    <row r="612" ht="14.4" hidden="1" customHeight="1" x14ac:dyDescent="0.3"/>
    <row r="613" ht="14.4" hidden="1" customHeight="1" x14ac:dyDescent="0.3"/>
    <row r="614" ht="14.4" hidden="1" customHeight="1" x14ac:dyDescent="0.3"/>
    <row r="615" ht="14.4" hidden="1" customHeight="1" x14ac:dyDescent="0.3"/>
    <row r="616" ht="14.4" hidden="1" customHeight="1" x14ac:dyDescent="0.3"/>
    <row r="617" ht="14.4" hidden="1" customHeight="1" x14ac:dyDescent="0.3"/>
    <row r="618" ht="14.4" hidden="1" customHeight="1" x14ac:dyDescent="0.3"/>
    <row r="619" ht="14.4" hidden="1" customHeight="1" x14ac:dyDescent="0.3"/>
    <row r="620" ht="14.4" hidden="1" customHeight="1" x14ac:dyDescent="0.3"/>
    <row r="621" ht="14.4" hidden="1" customHeight="1" x14ac:dyDescent="0.3"/>
    <row r="622" ht="14.4" hidden="1" customHeight="1" x14ac:dyDescent="0.3"/>
    <row r="623" ht="14.4" hidden="1" customHeight="1" x14ac:dyDescent="0.3"/>
    <row r="624" ht="14.4" hidden="1" customHeight="1" x14ac:dyDescent="0.3"/>
    <row r="625" ht="14.4" hidden="1" customHeight="1" x14ac:dyDescent="0.3"/>
    <row r="626" ht="14.4" hidden="1" customHeight="1" x14ac:dyDescent="0.3"/>
    <row r="627" ht="14.4" hidden="1" customHeight="1" x14ac:dyDescent="0.3"/>
    <row r="628" ht="14.4" hidden="1" customHeight="1" x14ac:dyDescent="0.3"/>
    <row r="629" ht="14.4" hidden="1" customHeight="1" x14ac:dyDescent="0.3"/>
    <row r="630" ht="14.4" hidden="1" customHeight="1" x14ac:dyDescent="0.3"/>
    <row r="631" ht="14.4" hidden="1" customHeight="1" x14ac:dyDescent="0.3"/>
    <row r="632" ht="14.4" hidden="1" customHeight="1" x14ac:dyDescent="0.3"/>
    <row r="633" ht="14.4" hidden="1" customHeight="1" x14ac:dyDescent="0.3"/>
    <row r="634" ht="14.4" hidden="1" customHeight="1" x14ac:dyDescent="0.3"/>
    <row r="635" ht="14.4" hidden="1" customHeight="1" x14ac:dyDescent="0.3"/>
    <row r="636" ht="14.4" hidden="1" customHeight="1" x14ac:dyDescent="0.3"/>
    <row r="637" ht="14.4" hidden="1" customHeight="1" x14ac:dyDescent="0.3"/>
    <row r="638" ht="14.4" hidden="1" customHeight="1" x14ac:dyDescent="0.3"/>
    <row r="639" ht="14.4" hidden="1" customHeight="1" x14ac:dyDescent="0.3"/>
    <row r="640" ht="14.4" hidden="1" customHeight="1" x14ac:dyDescent="0.3"/>
    <row r="641" ht="14.4" hidden="1" customHeight="1" x14ac:dyDescent="0.3"/>
    <row r="642" ht="14.4" hidden="1" customHeight="1" x14ac:dyDescent="0.3"/>
    <row r="643" ht="14.4" hidden="1" customHeight="1" x14ac:dyDescent="0.3"/>
    <row r="644" ht="14.4" hidden="1" customHeight="1" x14ac:dyDescent="0.3"/>
    <row r="645" ht="14.4" hidden="1" customHeight="1" x14ac:dyDescent="0.3"/>
    <row r="646" ht="14.4" hidden="1" customHeight="1" x14ac:dyDescent="0.3"/>
    <row r="647" ht="14.4" hidden="1" customHeight="1" x14ac:dyDescent="0.3"/>
    <row r="648" ht="14.4" hidden="1" customHeight="1" x14ac:dyDescent="0.3"/>
    <row r="649" ht="14.4" hidden="1" customHeight="1" x14ac:dyDescent="0.3"/>
    <row r="650" ht="14.4" hidden="1" customHeight="1" x14ac:dyDescent="0.3"/>
    <row r="651" ht="14.4" hidden="1" customHeight="1" x14ac:dyDescent="0.3"/>
    <row r="652" ht="14.4" hidden="1" customHeight="1" x14ac:dyDescent="0.3"/>
    <row r="653" ht="14.4" hidden="1" customHeight="1" x14ac:dyDescent="0.3"/>
    <row r="654" ht="14.4" hidden="1" customHeight="1" x14ac:dyDescent="0.3"/>
    <row r="655" ht="14.4" hidden="1" customHeight="1" x14ac:dyDescent="0.3"/>
    <row r="656" ht="14.4" hidden="1" customHeight="1" x14ac:dyDescent="0.3"/>
    <row r="657" ht="14.4" hidden="1" customHeight="1" x14ac:dyDescent="0.3"/>
    <row r="658" ht="14.4" hidden="1" customHeight="1" x14ac:dyDescent="0.3"/>
    <row r="659" ht="14.4" hidden="1" customHeight="1" x14ac:dyDescent="0.3"/>
    <row r="660" ht="14.4" hidden="1" customHeight="1" x14ac:dyDescent="0.3"/>
    <row r="661" ht="14.4" hidden="1" customHeight="1" x14ac:dyDescent="0.3"/>
  </sheetData>
  <mergeCells count="103">
    <mergeCell ref="F54:G54"/>
    <mergeCell ref="E55:G55"/>
    <mergeCell ref="E56:G56"/>
    <mergeCell ref="F61:G61"/>
    <mergeCell ref="E62:G62"/>
    <mergeCell ref="E63:G63"/>
    <mergeCell ref="F8:G8"/>
    <mergeCell ref="E9:G9"/>
    <mergeCell ref="F16:G16"/>
    <mergeCell ref="E17:G17"/>
    <mergeCell ref="F44:G44"/>
    <mergeCell ref="E45:G45"/>
    <mergeCell ref="E95:G95"/>
    <mergeCell ref="F102:G102"/>
    <mergeCell ref="E103:G103"/>
    <mergeCell ref="E104:G104"/>
    <mergeCell ref="E106:G106"/>
    <mergeCell ref="F112:G112"/>
    <mergeCell ref="E65:G65"/>
    <mergeCell ref="F72:G72"/>
    <mergeCell ref="E73:G73"/>
    <mergeCell ref="F88:G88"/>
    <mergeCell ref="E89:G89"/>
    <mergeCell ref="F94:G94"/>
    <mergeCell ref="E130:G130"/>
    <mergeCell ref="F137:G137"/>
    <mergeCell ref="E138:G138"/>
    <mergeCell ref="F144:G144"/>
    <mergeCell ref="E145:G145"/>
    <mergeCell ref="F150:G150"/>
    <mergeCell ref="E113:G113"/>
    <mergeCell ref="F117:G117"/>
    <mergeCell ref="E118:G118"/>
    <mergeCell ref="F123:G123"/>
    <mergeCell ref="E124:G124"/>
    <mergeCell ref="F129:G129"/>
    <mergeCell ref="E191:G191"/>
    <mergeCell ref="F196:G196"/>
    <mergeCell ref="E197:G197"/>
    <mergeCell ref="F211:G211"/>
    <mergeCell ref="E212:G212"/>
    <mergeCell ref="F216:G216"/>
    <mergeCell ref="E151:G151"/>
    <mergeCell ref="F161:G161"/>
    <mergeCell ref="E162:G162"/>
    <mergeCell ref="F181:G181"/>
    <mergeCell ref="E182:G182"/>
    <mergeCell ref="F190:G190"/>
    <mergeCell ref="E237:G237"/>
    <mergeCell ref="F241:G241"/>
    <mergeCell ref="E242:G242"/>
    <mergeCell ref="F246:G246"/>
    <mergeCell ref="E247:G247"/>
    <mergeCell ref="F252:G252"/>
    <mergeCell ref="E217:G217"/>
    <mergeCell ref="F223:G223"/>
    <mergeCell ref="E224:G224"/>
    <mergeCell ref="F230:G230"/>
    <mergeCell ref="E231:G231"/>
    <mergeCell ref="F236:G236"/>
    <mergeCell ref="E268:G268"/>
    <mergeCell ref="F273:G273"/>
    <mergeCell ref="E274:G274"/>
    <mergeCell ref="F282:G282"/>
    <mergeCell ref="E283:G283"/>
    <mergeCell ref="F289:G289"/>
    <mergeCell ref="E253:G253"/>
    <mergeCell ref="F257:G257"/>
    <mergeCell ref="E258:G258"/>
    <mergeCell ref="F262:G262"/>
    <mergeCell ref="E263:G263"/>
    <mergeCell ref="F267:G267"/>
    <mergeCell ref="E329:G329"/>
    <mergeCell ref="F334:G334"/>
    <mergeCell ref="E335:G335"/>
    <mergeCell ref="F339:G339"/>
    <mergeCell ref="E340:G340"/>
    <mergeCell ref="F344:G344"/>
    <mergeCell ref="E290:G290"/>
    <mergeCell ref="F318:G318"/>
    <mergeCell ref="E319:G319"/>
    <mergeCell ref="F323:G323"/>
    <mergeCell ref="E324:G324"/>
    <mergeCell ref="F328:G328"/>
    <mergeCell ref="E360:G360"/>
    <mergeCell ref="F364:G364"/>
    <mergeCell ref="E365:G365"/>
    <mergeCell ref="F373:G373"/>
    <mergeCell ref="E374:G374"/>
    <mergeCell ref="F384:G384"/>
    <mergeCell ref="E345:G345"/>
    <mergeCell ref="F349:G349"/>
    <mergeCell ref="E350:G350"/>
    <mergeCell ref="F354:G354"/>
    <mergeCell ref="E355:G355"/>
    <mergeCell ref="F359:G359"/>
    <mergeCell ref="E403:G403"/>
    <mergeCell ref="E385:G385"/>
    <mergeCell ref="F389:G389"/>
    <mergeCell ref="E390:G390"/>
    <mergeCell ref="F395:G395"/>
    <mergeCell ref="E396:G396"/>
    <mergeCell ref="F402:G402"/>
  </mergeCells>
  <conditionalFormatting sqref="K57:K61">
    <cfRule type="expression" dxfId="93" priority="1" stopIfTrue="1">
      <formula>AND(ISNUMBER(K57),K57&lt;&gt;0)</formula>
    </cfRule>
  </conditionalFormatting>
  <conditionalFormatting sqref="K63">
    <cfRule type="expression" dxfId="92" priority="2" stopIfTrue="1">
      <formula>AND(ISNUMBER(K63),K63&lt;&gt;0)</formula>
    </cfRule>
  </conditionalFormatting>
  <conditionalFormatting sqref="K402">
    <cfRule type="expression" dxfId="47" priority="50" stopIfTrue="1">
      <formula>AND(ISNUMBER(K402),K402&lt;&gt;0)</formula>
    </cfRule>
  </conditionalFormatting>
  <conditionalFormatting sqref="K395">
    <cfRule type="expression" dxfId="46" priority="51" stopIfTrue="1">
      <formula>AND(ISNUMBER(K395),K395&lt;&gt;0)</formula>
    </cfRule>
  </conditionalFormatting>
  <conditionalFormatting sqref="K389">
    <cfRule type="expression" dxfId="45" priority="52" stopIfTrue="1">
      <formula>AND(ISNUMBER(K389),K389&lt;&gt;0)</formula>
    </cfRule>
  </conditionalFormatting>
  <conditionalFormatting sqref="K384">
    <cfRule type="expression" dxfId="44" priority="53" stopIfTrue="1">
      <formula>AND(ISNUMBER(K384),K384&lt;&gt;0)</formula>
    </cfRule>
  </conditionalFormatting>
  <conditionalFormatting sqref="K373">
    <cfRule type="expression" dxfId="43" priority="54" stopIfTrue="1">
      <formula>AND(ISNUMBER(K373),K373&lt;&gt;0)</formula>
    </cfRule>
  </conditionalFormatting>
  <conditionalFormatting sqref="K364">
    <cfRule type="expression" dxfId="42" priority="55" stopIfTrue="1">
      <formula>AND(ISNUMBER(K364),K364&lt;&gt;0)</formula>
    </cfRule>
  </conditionalFormatting>
  <conditionalFormatting sqref="K359">
    <cfRule type="expression" dxfId="41" priority="56" stopIfTrue="1">
      <formula>AND(ISNUMBER(K359),K359&lt;&gt;0)</formula>
    </cfRule>
  </conditionalFormatting>
  <conditionalFormatting sqref="K354">
    <cfRule type="expression" dxfId="40" priority="57" stopIfTrue="1">
      <formula>AND(ISNUMBER(K354),K354&lt;&gt;0)</formula>
    </cfRule>
  </conditionalFormatting>
  <conditionalFormatting sqref="K349">
    <cfRule type="expression" dxfId="39" priority="58" stopIfTrue="1">
      <formula>AND(ISNUMBER(K349),K349&lt;&gt;0)</formula>
    </cfRule>
  </conditionalFormatting>
  <conditionalFormatting sqref="K344">
    <cfRule type="expression" dxfId="38" priority="59" stopIfTrue="1">
      <formula>AND(ISNUMBER(K344),K344&lt;&gt;0)</formula>
    </cfRule>
  </conditionalFormatting>
  <conditionalFormatting sqref="K339">
    <cfRule type="expression" dxfId="37" priority="60" stopIfTrue="1">
      <formula>AND(ISNUMBER(K339),K339&lt;&gt;0)</formula>
    </cfRule>
  </conditionalFormatting>
  <conditionalFormatting sqref="K334">
    <cfRule type="expression" dxfId="36" priority="61" stopIfTrue="1">
      <formula>AND(ISNUMBER(K334),K334&lt;&gt;0)</formula>
    </cfRule>
  </conditionalFormatting>
  <conditionalFormatting sqref="K328">
    <cfRule type="expression" dxfId="35" priority="62" stopIfTrue="1">
      <formula>AND(ISNUMBER(K328),K328&lt;&gt;0)</formula>
    </cfRule>
  </conditionalFormatting>
  <conditionalFormatting sqref="K323">
    <cfRule type="expression" dxfId="34" priority="63" stopIfTrue="1">
      <formula>AND(ISNUMBER(K323),K323&lt;&gt;0)</formula>
    </cfRule>
  </conditionalFormatting>
  <conditionalFormatting sqref="K318">
    <cfRule type="expression" dxfId="33" priority="64" stopIfTrue="1">
      <formula>AND(ISNUMBER(K318),K318&lt;&gt;0)</formula>
    </cfRule>
  </conditionalFormatting>
  <conditionalFormatting sqref="K289">
    <cfRule type="expression" dxfId="32" priority="65" stopIfTrue="1">
      <formula>AND(ISNUMBER(K289),K289&lt;&gt;0)</formula>
    </cfRule>
  </conditionalFormatting>
  <conditionalFormatting sqref="K282">
    <cfRule type="expression" dxfId="31" priority="66" stopIfTrue="1">
      <formula>AND(ISNUMBER(K282),K282&lt;&gt;0)</formula>
    </cfRule>
  </conditionalFormatting>
  <conditionalFormatting sqref="K273">
    <cfRule type="expression" dxfId="30" priority="67" stopIfTrue="1">
      <formula>AND(ISNUMBER(K273),K273&lt;&gt;0)</formula>
    </cfRule>
  </conditionalFormatting>
  <conditionalFormatting sqref="K267">
    <cfRule type="expression" dxfId="29" priority="68" stopIfTrue="1">
      <formula>AND(ISNUMBER(K267),K267&lt;&gt;0)</formula>
    </cfRule>
  </conditionalFormatting>
  <conditionalFormatting sqref="K262">
    <cfRule type="expression" dxfId="28" priority="69" stopIfTrue="1">
      <formula>AND(ISNUMBER(K262),K262&lt;&gt;0)</formula>
    </cfRule>
  </conditionalFormatting>
  <conditionalFormatting sqref="K257">
    <cfRule type="expression" dxfId="27" priority="70" stopIfTrue="1">
      <formula>AND(ISNUMBER(K257),K257&lt;&gt;0)</formula>
    </cfRule>
  </conditionalFormatting>
  <conditionalFormatting sqref="K252">
    <cfRule type="expression" dxfId="26" priority="71" stopIfTrue="1">
      <formula>AND(ISNUMBER(K252),K252&lt;&gt;0)</formula>
    </cfRule>
  </conditionalFormatting>
  <conditionalFormatting sqref="K246">
    <cfRule type="expression" dxfId="25" priority="72" stopIfTrue="1">
      <formula>AND(ISNUMBER(K246),K246&lt;&gt;0)</formula>
    </cfRule>
  </conditionalFormatting>
  <conditionalFormatting sqref="K241">
    <cfRule type="expression" dxfId="24" priority="73" stopIfTrue="1">
      <formula>AND(ISNUMBER(K241),K241&lt;&gt;0)</formula>
    </cfRule>
  </conditionalFormatting>
  <conditionalFormatting sqref="K236">
    <cfRule type="expression" dxfId="23" priority="74" stopIfTrue="1">
      <formula>AND(ISNUMBER(K236),K236&lt;&gt;0)</formula>
    </cfRule>
  </conditionalFormatting>
  <conditionalFormatting sqref="K230">
    <cfRule type="expression" dxfId="22" priority="75" stopIfTrue="1">
      <formula>AND(ISNUMBER(K230),K230&lt;&gt;0)</formula>
    </cfRule>
  </conditionalFormatting>
  <conditionalFormatting sqref="K223">
    <cfRule type="expression" dxfId="21" priority="76" stopIfTrue="1">
      <formula>AND(ISNUMBER(K223),K223&lt;&gt;0)</formula>
    </cfRule>
  </conditionalFormatting>
  <conditionalFormatting sqref="K216">
    <cfRule type="expression" dxfId="20" priority="77" stopIfTrue="1">
      <formula>AND(ISNUMBER(K216),K216&lt;&gt;0)</formula>
    </cfRule>
  </conditionalFormatting>
  <conditionalFormatting sqref="K211">
    <cfRule type="expression" dxfId="19" priority="78" stopIfTrue="1">
      <formula>AND(ISNUMBER(K211),K211&lt;&gt;0)</formula>
    </cfRule>
  </conditionalFormatting>
  <conditionalFormatting sqref="K196">
    <cfRule type="expression" dxfId="18" priority="79" stopIfTrue="1">
      <formula>AND(ISNUMBER(K196),K196&lt;&gt;0)</formula>
    </cfRule>
  </conditionalFormatting>
  <conditionalFormatting sqref="K190">
    <cfRule type="expression" dxfId="17" priority="80" stopIfTrue="1">
      <formula>AND(ISNUMBER(K190),K190&lt;&gt;0)</formula>
    </cfRule>
  </conditionalFormatting>
  <conditionalFormatting sqref="K181">
    <cfRule type="expression" dxfId="16" priority="81" stopIfTrue="1">
      <formula>AND(ISNUMBER(K181),K181&lt;&gt;0)</formula>
    </cfRule>
  </conditionalFormatting>
  <conditionalFormatting sqref="K161">
    <cfRule type="expression" dxfId="15" priority="82" stopIfTrue="1">
      <formula>AND(ISNUMBER(K161),K161&lt;&gt;0)</formula>
    </cfRule>
  </conditionalFormatting>
  <conditionalFormatting sqref="K150">
    <cfRule type="expression" dxfId="14" priority="83" stopIfTrue="1">
      <formula>AND(ISNUMBER(K150),K150&lt;&gt;0)</formula>
    </cfRule>
  </conditionalFormatting>
  <conditionalFormatting sqref="K144">
    <cfRule type="expression" dxfId="13" priority="84" stopIfTrue="1">
      <formula>AND(ISNUMBER(K144),K144&lt;&gt;0)</formula>
    </cfRule>
  </conditionalFormatting>
  <conditionalFormatting sqref="K137">
    <cfRule type="expression" dxfId="12" priority="85" stopIfTrue="1">
      <formula>AND(ISNUMBER(K137),K137&lt;&gt;0)</formula>
    </cfRule>
  </conditionalFormatting>
  <conditionalFormatting sqref="K129">
    <cfRule type="expression" dxfId="11" priority="86" stopIfTrue="1">
      <formula>AND(ISNUMBER(K129),K129&lt;&gt;0)</formula>
    </cfRule>
  </conditionalFormatting>
  <conditionalFormatting sqref="K123">
    <cfRule type="expression" dxfId="10" priority="87" stopIfTrue="1">
      <formula>AND(ISNUMBER(K123),K123&lt;&gt;0)</formula>
    </cfRule>
  </conditionalFormatting>
  <conditionalFormatting sqref="K117">
    <cfRule type="expression" dxfId="9" priority="88" stopIfTrue="1">
      <formula>AND(ISNUMBER(K117),K117&lt;&gt;0)</formula>
    </cfRule>
  </conditionalFormatting>
  <conditionalFormatting sqref="K112">
    <cfRule type="expression" dxfId="8" priority="89" stopIfTrue="1">
      <formula>AND(ISNUMBER(K112),K112&lt;&gt;0)</formula>
    </cfRule>
  </conditionalFormatting>
  <conditionalFormatting sqref="K105">
    <cfRule type="expression" dxfId="7" priority="90" stopIfTrue="1">
      <formula>AND(ISNUMBER(K105),K105&lt;&gt;0)</formula>
    </cfRule>
  </conditionalFormatting>
  <conditionalFormatting sqref="K94">
    <cfRule type="expression" dxfId="6" priority="91" stopIfTrue="1">
      <formula>AND(ISNUMBER(K94),K94&lt;&gt;0)</formula>
    </cfRule>
  </conditionalFormatting>
  <conditionalFormatting sqref="K88">
    <cfRule type="expression" dxfId="5" priority="92" stopIfTrue="1">
      <formula>AND(ISNUMBER(K88),K88&lt;&gt;0)</formula>
    </cfRule>
  </conditionalFormatting>
  <conditionalFormatting sqref="K72">
    <cfRule type="expression" dxfId="4" priority="93" stopIfTrue="1">
      <formula>AND(ISNUMBER(K72),K72&lt;&gt;0)</formula>
    </cfRule>
  </conditionalFormatting>
  <conditionalFormatting sqref="K64">
    <cfRule type="expression" dxfId="3" priority="94" stopIfTrue="1">
      <formula>AND(ISNUMBER(K64),K64&lt;&gt;0)</formula>
    </cfRule>
  </conditionalFormatting>
  <conditionalFormatting sqref="K44">
    <cfRule type="expression" dxfId="2" priority="95" stopIfTrue="1">
      <formula>AND(ISNUMBER(K44),K44&lt;&gt;0)</formula>
    </cfRule>
  </conditionalFormatting>
  <conditionalFormatting sqref="K16">
    <cfRule type="expression" dxfId="1" priority="96" stopIfTrue="1">
      <formula>AND(ISNUMBER(K16),K16&lt;&gt;0)</formula>
    </cfRule>
  </conditionalFormatting>
  <conditionalFormatting sqref="K8">
    <cfRule type="expression" dxfId="0" priority="97" stopIfTrue="1">
      <formula>AND(ISNUMBER(K8),K8&lt;&gt;0)</formula>
    </cfRule>
  </conditionalFormatting>
  <dataValidations count="6">
    <dataValidation type="list" allowBlank="1" showInputMessage="1" showErrorMessage="1" sqref="J124 J191 J212 J242 J95 J247 J197 J253 J224 J283 J274 J290 J355 J118 J113 J106 J73 J403 J365 J360 J350 J345 J340 J335 J319 J268 J263 J258 J237 J231 J217 J151 J145 J138 J130 J324 J17" xr:uid="{A47087ED-2367-4481-BD13-CDACDB15A03A}">
      <formula1>"Labour Rate,Through Rate,Material Rate"</formula1>
    </dataValidation>
    <dataValidation type="list" allowBlank="1" showInputMessage="1" showErrorMessage="1" sqref="J396 J390" xr:uid="{80A04DFF-7A57-4D35-906A-37BC05FF07DE}">
      <formula1>"Labour + Machinery Rate Amnd,Labour + Machinery Rate,Labour Rate Amnd,Labour Rate,Through Rate Amnd,Through Rate,Material Rate Amnd,Material Rate,Machinery Rate Amnd,Machinery Rate"</formula1>
    </dataValidation>
    <dataValidation type="list" allowBlank="1" showInputMessage="1" showErrorMessage="1" sqref="J385 J374" xr:uid="{60282025-A164-40EA-8131-9712B04CDC06}">
      <formula1>"Labour Rate,Through Rate"</formula1>
    </dataValidation>
    <dataValidation type="list" allowBlank="1" showInputMessage="1" showErrorMessage="1" sqref="J65 J89 J182 J162 J66 J45" xr:uid="{3866CA07-E939-47C0-B354-F69E61350119}">
      <formula1>"Labour Rate Amnd,Labour Rate,Through Rate Amnd,Through Rate,Material Rate Amnd,Material Rate"</formula1>
    </dataValidation>
    <dataValidation type="list" allowBlank="1" showInputMessage="1" showErrorMessage="1" sqref="J329" xr:uid="{1BB8037A-A73F-46C0-A4A3-F1870472E3DE}">
      <formula1>"Through Rate,Material Rate"</formula1>
    </dataValidation>
    <dataValidation type="list" allowBlank="1" showInputMessage="1" showErrorMessage="1" sqref="J9" xr:uid="{CE2B694C-914E-4D60-A066-264B6248D309}">
      <formula1>"Through Rate,Labour Rate,Machinery Rate"</formula1>
    </dataValidation>
  </dataValidations>
  <pageMargins left="0.70866141732283472" right="0.70866141732283472" top="0.74803149606299213" bottom="0.74803149606299213" header="0.31496062992125984" footer="0.31496062992125984"/>
  <pageSetup paperSize="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 choupal complete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garg</dc:creator>
  <cp:lastModifiedBy>GarG BroThers</cp:lastModifiedBy>
  <dcterms:created xsi:type="dcterms:W3CDTF">2026-01-17T15:00:20Z</dcterms:created>
  <dcterms:modified xsi:type="dcterms:W3CDTF">2026-01-17T21:00:29Z</dcterms:modified>
</cp:coreProperties>
</file>