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166925"/>
  <mc:AlternateContent xmlns:mc="http://schemas.openxmlformats.org/markup-compatibility/2006">
    <mc:Choice Requires="x15">
      <x15ac:absPath xmlns:x15ac="http://schemas.microsoft.com/office/spreadsheetml/2010/11/ac" url="C:\Users\mrgar\Downloads\"/>
    </mc:Choice>
  </mc:AlternateContent>
  <xr:revisionPtr revIDLastSave="0" documentId="13_ncr:1_{24468416-8BBC-4CE6-83C1-38F4E01DE63E}" xr6:coauthVersionLast="47" xr6:coauthVersionMax="47" xr10:uidLastSave="{00000000-0000-0000-0000-000000000000}"/>
  <bookViews>
    <workbookView xWindow="-108" yWindow="-108" windowWidth="23256" windowHeight="12456" xr2:uid="{16C6139C-FE86-4E94-A481-5E3CB9C9E2BF}"/>
  </bookViews>
  <sheets>
    <sheet name="Template" sheetId="2"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3" i="2" l="1"/>
  <c r="A8" i="2" s="1"/>
  <c r="A13" i="2" s="1"/>
  <c r="K5" i="2"/>
  <c r="K6" i="2"/>
  <c r="K10" i="2"/>
  <c r="K11" i="2"/>
  <c r="K16" i="2"/>
  <c r="K17" i="2"/>
  <c r="K22" i="2"/>
  <c r="K23" i="2"/>
  <c r="K29" i="2"/>
  <c r="K30" i="2"/>
  <c r="K34" i="2"/>
  <c r="K35" i="2"/>
  <c r="K39" i="2"/>
  <c r="K40" i="2"/>
  <c r="K44" i="2"/>
  <c r="K45" i="2"/>
  <c r="H34" i="2"/>
  <c r="H39" i="2"/>
  <c r="H40" i="2" s="1"/>
  <c r="L40" i="2" s="1"/>
  <c r="H44" i="2"/>
  <c r="H4" i="2"/>
  <c r="H5" i="2" s="1"/>
  <c r="H6" i="2" s="1"/>
  <c r="L6" i="2" s="1"/>
  <c r="H9" i="2"/>
  <c r="H10" i="2" s="1"/>
  <c r="H11" i="2" s="1"/>
  <c r="L11" i="2" s="1"/>
  <c r="H15" i="2"/>
  <c r="H14" i="2"/>
  <c r="H21" i="2"/>
  <c r="H20" i="2"/>
  <c r="H22" i="2" s="1"/>
  <c r="H23" i="2" s="1"/>
  <c r="L23" i="2" s="1"/>
  <c r="H28" i="2"/>
  <c r="H27" i="2"/>
  <c r="H29" i="2" s="1"/>
  <c r="H30" i="2" s="1"/>
  <c r="L30" i="2" s="1"/>
  <c r="H26" i="2"/>
  <c r="H33" i="2"/>
  <c r="H38" i="2"/>
  <c r="H43" i="2"/>
  <c r="K8" i="2"/>
  <c r="A19" i="2" l="1"/>
  <c r="A25" i="2" s="1"/>
  <c r="H16" i="2"/>
  <c r="H17" i="2" s="1"/>
  <c r="L17" i="2" s="1"/>
  <c r="H35" i="2"/>
  <c r="L35" i="2" s="1"/>
  <c r="H45" i="2"/>
  <c r="L45" i="2" s="1"/>
  <c r="L47" i="2" l="1"/>
  <c r="L48" i="2" s="1"/>
  <c r="A32" i="2"/>
  <c r="A37" i="2" s="1"/>
  <c r="A42" i="2" s="1"/>
  <c r="L49" i="2" l="1"/>
  <c r="L50" i="2" s="1"/>
  <c r="L51" i="2" s="1"/>
  <c r="J53" i="2" s="1"/>
</calcChain>
</file>

<file path=xl/sharedStrings.xml><?xml version="1.0" encoding="utf-8"?>
<sst xmlns="http://schemas.openxmlformats.org/spreadsheetml/2006/main" count="89" uniqueCount="49">
  <si>
    <t>Construction of Iron Shed</t>
  </si>
  <si>
    <t>Sr No</t>
  </si>
  <si>
    <t>HSR
Item No</t>
  </si>
  <si>
    <t>Description</t>
  </si>
  <si>
    <t>Nos</t>
  </si>
  <si>
    <t>Length</t>
  </si>
  <si>
    <t>Breadth</t>
  </si>
  <si>
    <t>Depth</t>
  </si>
  <si>
    <t>Quantity</t>
  </si>
  <si>
    <t>Unit</t>
  </si>
  <si>
    <t>Rate Type</t>
  </si>
  <si>
    <t>Rate</t>
  </si>
  <si>
    <t>Amount</t>
  </si>
  <si>
    <t>4.14.1</t>
  </si>
  <si>
    <r>
      <t xml:space="preserve">(4.14) Earth Work and Rock Cutting Earth work in excavation by mechanical means (Hydraulic excavator) / manual means in foundation trenches or drains (not exceeding 1.5 m in width or 10 sqm on plan), including dressing of sides and ramming of bottoms, lift up to 1.5 m, including getting out the excavated soil and disposal of surplus excavated soil as directed, within a lead of 50 m.
</t>
    </r>
    <r>
      <rPr>
        <b/>
        <i/>
        <sz val="9"/>
        <color rgb="FF8B0000"/>
        <rFont val="Calibri"/>
        <family val="2"/>
        <scheme val="minor"/>
      </rPr>
      <t>(4.14.1) All kinds of soil.</t>
    </r>
  </si>
  <si>
    <t>cft</t>
  </si>
  <si>
    <t>Total (cft)</t>
  </si>
  <si>
    <t>Total (cum)</t>
  </si>
  <si>
    <t>cum</t>
  </si>
  <si>
    <t>Through Rate</t>
  </si>
  <si>
    <t>10.100.2</t>
  </si>
  <si>
    <r>
      <t xml:space="preserve">(10.100) Flooring and Dados OTHER MISCELLANEOUS ITEMS USED FOR FLOORING 0 Cement Concrete 1:8:16 Flooring
</t>
    </r>
    <r>
      <rPr>
        <b/>
        <i/>
        <sz val="9"/>
        <color rgb="FF8B0000"/>
        <rFont val="Calibri"/>
        <family val="2"/>
        <scheme val="minor"/>
      </rPr>
      <t>(10.100.2) Cement Concrete 1:8:16 with stone aggregate 40 mm size in foundation and plinth.</t>
    </r>
  </si>
  <si>
    <t>6.14.1</t>
  </si>
  <si>
    <r>
      <t xml:space="preserve">(6.14) Concrete and RCC Work D REINFORCED CEMENT CONCRETE Providing and laying in position specified grade of reinforced cement concrete, excluding the cost of centering, shuttering, finishing and reinforcement - All work up to plinth level :
</t>
    </r>
    <r>
      <rPr>
        <b/>
        <i/>
        <sz val="9"/>
        <color rgb="FF8B0000"/>
        <rFont val="Calibri"/>
        <family val="2"/>
        <scheme val="minor"/>
      </rPr>
      <t>(6.14.1) 1:1.5:3 (1 cement : 1.5 coarse sand (zone-III): 3 graded stone aggregate 20 mm nominal size)</t>
    </r>
  </si>
  <si>
    <t>6.29.1</t>
  </si>
  <si>
    <r>
      <t xml:space="preserve">(6.29) Concrete and RCC Work I CENTRING AND SHUTTERING (FORM WORK) Centering and shuttering including strutting, propping etc. and removal of form work for :
</t>
    </r>
    <r>
      <rPr>
        <b/>
        <i/>
        <sz val="9"/>
        <color rgb="FF8B0000"/>
        <rFont val="Calibri"/>
        <family val="2"/>
        <scheme val="minor"/>
      </rPr>
      <t>(6.29.1) Foundations, footings, bases for columns</t>
    </r>
  </si>
  <si>
    <t>sft</t>
  </si>
  <si>
    <t>Total (sft)</t>
  </si>
  <si>
    <t>Total (sqm)</t>
  </si>
  <si>
    <t>sqm</t>
  </si>
  <si>
    <t>9.22.3</t>
  </si>
  <si>
    <r>
      <t xml:space="preserve">(9.22) Hoisting and Roofing SHEET ROOFING Providing corrugated G.S. sheet roofing including vertical / curved surface fixed with polymer coated J or L hooks, bolts and nuts 8 mm diameter with bitumen and G.I. limpet washers or with G.I. limpet washers filled with white lead, including a coat of approved steel primer and two coats of approved paint on overlapping of sheets complete (up to any pitch in horizontal/ vertical or curved surfaces), excluding the cost of purlins, rafters and trusses and including cutting to size and shape wherever required.
</t>
    </r>
    <r>
      <rPr>
        <b/>
        <i/>
        <sz val="9"/>
        <color rgb="FF8B0000"/>
        <rFont val="Calibri"/>
        <family val="2"/>
        <scheme val="minor"/>
      </rPr>
      <t>(9.22.3) 0.63 mm thick with zinc coating not less than 275 gm/ m�</t>
    </r>
  </si>
  <si>
    <t>13.30.1</t>
  </si>
  <si>
    <r>
      <t xml:space="preserve">(13.30) Steel and Iron Work SIGLE/BUILT-UP STEEL/TUBULAR SECTIONS Steel work in built up tubular (round, square or rectangular hollow tubes etc.) trusses etc., including cutting, hoisting, fixing in position and applying a priming coat of approved steel primer, including welding and bolted with special shaped washers etc. complete.
</t>
    </r>
    <r>
      <rPr>
        <b/>
        <i/>
        <sz val="9"/>
        <color rgb="FF8B0000"/>
        <rFont val="Calibri"/>
        <family val="2"/>
        <scheme val="minor"/>
      </rPr>
      <t>(13.30.1) Hot finished welded type tubes</t>
    </r>
  </si>
  <si>
    <t>kg</t>
  </si>
  <si>
    <t>Total (kg)</t>
  </si>
  <si>
    <t>34.50</t>
  </si>
  <si>
    <t>(34.50) { Road Furniture Cautionary Sign Boards Painting on Steel Surfaces } 
Providing and applying two coats of ready mix paint of approved brand on steel surface after through cleaning of surface to give an even shade</t>
  </si>
  <si>
    <t>6.33.3</t>
  </si>
  <si>
    <t>End</t>
  </si>
  <si>
    <t>Through Rate Amnd</t>
  </si>
  <si>
    <t>Total</t>
  </si>
  <si>
    <t>Add 18% GST</t>
  </si>
  <si>
    <t>Total Amount</t>
  </si>
  <si>
    <t>Add 1% Contigency</t>
  </si>
  <si>
    <t>GRAND TOTAL</t>
  </si>
  <si>
    <t xml:space="preserve"> .</t>
  </si>
  <si>
    <t xml:space="preserve">Say Rs. : </t>
  </si>
  <si>
    <r>
      <t xml:space="preserve">(6.33) Steel reinforcement for R.C.C. work, where not included in the complete rate of RCC, including straightening, cutting, bending, placing in position, binding, wastage, overlaps, welded joints, spacer bars, chairs, stays, hangers and annealed steel wire etc. complete in all respect for all heights/depths/storeys/basements etc. complete in all respect below plinth level.  Note: - Reinforcement shall be measured in length including hooks, if any, separately for different diameters as actually used in work, excluding overlaps. Wastage, overlaps, couplings, welded joints, spacer bars, chairs, stays, hangers and annealed steel wire or other methods of binding and placing shall not be measured and cost of these items shall be deemed to be included in the rates for reinforcement.
</t>
    </r>
    <r>
      <rPr>
        <b/>
        <i/>
        <sz val="9"/>
        <color rgb="FF8B0000"/>
        <rFont val="Calibri"/>
        <family val="2"/>
        <scheme val="minor"/>
      </rPr>
      <t>(6.33.3) Cold twisted bars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</si>
</sst>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
    <numFmt numFmtId="165" formatCode="#,##0;\-#,##0;&quot;&quot;"/>
    <numFmt numFmtId="166" formatCode="_(* #,##0_);_(* \(#,##0\);_(* &quot;-&quot;??_);_(@_)"/>
  </numFmts>
  <fonts count="11" x14ac:knownFonts="1">
    <font>
      <sz val="11"/>
      <color theme="1"/>
      <name val="Calibri"/>
      <family val="2"/>
      <scheme val="minor"/>
    </font>
    <font>
      <b/>
      <sz val="11"/>
      <color theme="1"/>
      <name val="Calibri"/>
      <family val="2"/>
      <scheme val="minor"/>
    </font>
    <font>
      <b/>
      <sz val="12"/>
      <color theme="1"/>
      <name val="Times New Roman"/>
      <family val="1"/>
    </font>
    <font>
      <b/>
      <i/>
      <sz val="10"/>
      <color rgb="FF006400"/>
      <name val="Calibri"/>
      <family val="2"/>
      <scheme val="minor"/>
    </font>
    <font>
      <b/>
      <i/>
      <sz val="9"/>
      <color rgb="FF8B0000"/>
      <name val="Calibri"/>
      <family val="2"/>
      <scheme val="minor"/>
    </font>
    <font>
      <b/>
      <sz val="11"/>
      <color rgb="FF000000"/>
      <name val="Times New Roman"/>
      <family val="1"/>
    </font>
    <font>
      <b/>
      <sz val="11"/>
      <color rgb="FF000000"/>
      <name val="Calibri"/>
      <family val="2"/>
      <scheme val="minor"/>
    </font>
    <font>
      <b/>
      <sz val="11"/>
      <color theme="1"/>
      <name val="Times New Roman"/>
      <family val="1"/>
    </font>
    <font>
      <b/>
      <i/>
      <sz val="14"/>
      <color rgb="FF000000"/>
      <name val="Times New Roman"/>
      <family val="1"/>
    </font>
    <font>
      <sz val="11"/>
      <color theme="1"/>
      <name val="Times New Roman"/>
      <family val="1"/>
    </font>
    <font>
      <b/>
      <sz val="24"/>
      <color theme="1"/>
      <name val="Calibri"/>
      <family val="2"/>
      <scheme val="minor"/>
    </font>
  </fonts>
  <fills count="9">
    <fill>
      <patternFill patternType="none"/>
    </fill>
    <fill>
      <patternFill patternType="gray125"/>
    </fill>
    <fill>
      <patternFill patternType="solid">
        <fgColor rgb="FFDCE6FF"/>
        <bgColor indexed="64"/>
      </patternFill>
    </fill>
    <fill>
      <patternFill patternType="solid">
        <fgColor rgb="FFFFFFC8"/>
        <bgColor indexed="64"/>
      </patternFill>
    </fill>
    <fill>
      <patternFill patternType="solid">
        <fgColor rgb="FFC8FFC8"/>
        <bgColor indexed="64"/>
      </patternFill>
    </fill>
    <fill>
      <patternFill patternType="solid">
        <fgColor rgb="FFFFE6C8"/>
        <bgColor indexed="64"/>
      </patternFill>
    </fill>
    <fill>
      <patternFill patternType="solid">
        <fgColor rgb="FFDCFFDC"/>
        <bgColor indexed="64"/>
      </patternFill>
    </fill>
    <fill>
      <patternFill patternType="solid">
        <fgColor rgb="FFF0F0F0"/>
        <bgColor indexed="64"/>
      </patternFill>
    </fill>
    <fill>
      <patternFill patternType="solid">
        <fgColor rgb="FFFFFF99"/>
        <bgColor indexed="64"/>
      </patternFill>
    </fill>
  </fills>
  <borders count="21">
    <border>
      <left/>
      <right/>
      <top/>
      <bottom/>
      <diagonal/>
    </border>
    <border>
      <left style="thin">
        <color indexed="64"/>
      </left>
      <right style="thin">
        <color indexed="64"/>
      </right>
      <top style="thin">
        <color indexed="64"/>
      </top>
      <bottom style="thin">
        <color indexed="64"/>
      </bottom>
      <diagonal/>
    </border>
    <border>
      <left style="thick">
        <color auto="1"/>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style="thick">
        <color auto="1"/>
      </right>
      <top style="thick">
        <color indexed="64"/>
      </top>
      <bottom style="thin">
        <color indexed="64"/>
      </bottom>
      <diagonal/>
    </border>
    <border>
      <left style="thick">
        <color auto="1"/>
      </left>
      <right/>
      <top style="thin">
        <color indexed="64"/>
      </top>
      <bottom style="thin">
        <color indexed="64"/>
      </bottom>
      <diagonal/>
    </border>
    <border>
      <left/>
      <right/>
      <top style="thin">
        <color indexed="64"/>
      </top>
      <bottom style="thin">
        <color indexed="64"/>
      </bottom>
      <diagonal/>
    </border>
    <border>
      <left/>
      <right style="thick">
        <color auto="1"/>
      </right>
      <top style="thin">
        <color indexed="64"/>
      </top>
      <bottom style="thin">
        <color indexed="64"/>
      </bottom>
      <diagonal/>
    </border>
    <border>
      <left style="thin">
        <color indexed="64"/>
      </left>
      <right/>
      <top style="thin">
        <color indexed="64"/>
      </top>
      <bottom style="thin">
        <color indexed="64"/>
      </bottom>
      <diagonal/>
    </border>
    <border>
      <left style="thick">
        <color auto="1"/>
      </left>
      <right style="thin">
        <color indexed="64"/>
      </right>
      <top style="thin">
        <color indexed="64"/>
      </top>
      <bottom style="thin">
        <color indexed="64"/>
      </bottom>
      <diagonal/>
    </border>
    <border>
      <left style="thin">
        <color indexed="64"/>
      </left>
      <right style="thick">
        <color auto="1"/>
      </right>
      <top style="thin">
        <color indexed="64"/>
      </top>
      <bottom style="thin">
        <color indexed="64"/>
      </bottom>
      <diagonal/>
    </border>
    <border>
      <left/>
      <right/>
      <top/>
      <bottom style="thick">
        <color auto="1"/>
      </bottom>
      <diagonal/>
    </border>
    <border>
      <left style="thick">
        <color indexed="64"/>
      </left>
      <right/>
      <top/>
      <bottom style="thin">
        <color indexed="64"/>
      </bottom>
      <diagonal/>
    </border>
    <border>
      <left/>
      <right/>
      <top/>
      <bottom style="thin">
        <color indexed="64"/>
      </bottom>
      <diagonal/>
    </border>
    <border>
      <left/>
      <right style="thick">
        <color indexed="64"/>
      </right>
      <top/>
      <bottom style="thin">
        <color indexed="64"/>
      </bottom>
      <diagonal/>
    </border>
    <border>
      <left style="thick">
        <color indexed="64"/>
      </left>
      <right/>
      <top style="thin">
        <color indexed="64"/>
      </top>
      <bottom style="thick">
        <color indexed="64"/>
      </bottom>
      <diagonal/>
    </border>
    <border>
      <left/>
      <right/>
      <top style="thin">
        <color indexed="64"/>
      </top>
      <bottom style="thick">
        <color indexed="64"/>
      </bottom>
      <diagonal/>
    </border>
    <border>
      <left/>
      <right style="thick">
        <color indexed="64"/>
      </right>
      <top style="thin">
        <color indexed="64"/>
      </top>
      <bottom style="thick">
        <color indexed="64"/>
      </bottom>
      <diagonal/>
    </border>
    <border>
      <left style="thick">
        <color auto="1"/>
      </left>
      <right/>
      <top/>
      <bottom style="thick">
        <color auto="1"/>
      </bottom>
      <diagonal/>
    </border>
    <border>
      <left/>
      <right/>
      <top/>
      <bottom style="thick">
        <color auto="1"/>
      </bottom>
      <diagonal/>
    </border>
    <border>
      <left/>
      <right style="thick">
        <color indexed="64"/>
      </right>
      <top/>
      <bottom style="thick">
        <color auto="1"/>
      </bottom>
      <diagonal/>
    </border>
  </borders>
  <cellStyleXfs count="1">
    <xf numFmtId="0" fontId="0" fillId="0" borderId="0"/>
  </cellStyleXfs>
  <cellXfs count="83">
    <xf numFmtId="0" fontId="0" fillId="0" borderId="0" xfId="0"/>
    <xf numFmtId="0" fontId="0" fillId="0" borderId="0" xfId="0" applyAlignment="1">
      <alignment horizontal="center" vertical="center"/>
    </xf>
    <xf numFmtId="0" fontId="0" fillId="0" borderId="0" xfId="0" applyAlignment="1">
      <alignment vertical="center"/>
    </xf>
    <xf numFmtId="0" fontId="1" fillId="0" borderId="0" xfId="0" applyFont="1" applyAlignment="1">
      <alignment vertical="center"/>
    </xf>
    <xf numFmtId="0" fontId="1" fillId="0" borderId="1" xfId="0" applyFont="1" applyBorder="1" applyAlignment="1">
      <alignment horizontal="center" vertical="center"/>
    </xf>
    <xf numFmtId="0" fontId="0" fillId="0" borderId="1" xfId="0" applyBorder="1" applyAlignment="1">
      <alignment vertical="center"/>
    </xf>
    <xf numFmtId="0" fontId="0" fillId="0" borderId="1" xfId="0" applyBorder="1" applyAlignment="1">
      <alignment horizontal="center" vertical="center"/>
    </xf>
    <xf numFmtId="0" fontId="1" fillId="0" borderId="1" xfId="0" applyFont="1" applyBorder="1" applyAlignment="1">
      <alignment horizontal="left" vertical="center"/>
    </xf>
    <xf numFmtId="0" fontId="0" fillId="4" borderId="1" xfId="0" applyFill="1" applyBorder="1" applyAlignment="1">
      <alignment horizontal="center" vertical="center" wrapText="1"/>
    </xf>
    <xf numFmtId="0" fontId="0" fillId="5" borderId="1" xfId="0" applyFill="1" applyBorder="1" applyAlignment="1">
      <alignment horizontal="right" vertical="center"/>
    </xf>
    <xf numFmtId="0" fontId="1" fillId="0" borderId="10" xfId="0" applyFont="1" applyBorder="1" applyAlignment="1">
      <alignment horizontal="center" vertical="center"/>
    </xf>
    <xf numFmtId="0" fontId="1" fillId="6" borderId="1" xfId="0" applyFont="1" applyFill="1" applyBorder="1" applyAlignment="1">
      <alignment horizontal="center" vertical="center"/>
    </xf>
    <xf numFmtId="0" fontId="1" fillId="6" borderId="1" xfId="0" applyFont="1" applyFill="1" applyBorder="1" applyAlignment="1">
      <alignment vertical="center"/>
    </xf>
    <xf numFmtId="0" fontId="1" fillId="6" borderId="1" xfId="0" applyFont="1" applyFill="1" applyBorder="1" applyAlignment="1">
      <alignment horizontal="left" vertical="center"/>
    </xf>
    <xf numFmtId="0" fontId="1" fillId="4" borderId="1" xfId="0" applyFont="1" applyFill="1" applyBorder="1" applyAlignment="1">
      <alignment horizontal="center" vertical="center" wrapText="1"/>
    </xf>
    <xf numFmtId="165" fontId="1" fillId="5" borderId="1" xfId="0" applyNumberFormat="1" applyFont="1" applyFill="1" applyBorder="1" applyAlignment="1">
      <alignment horizontal="right" vertical="center"/>
    </xf>
    <xf numFmtId="0" fontId="1" fillId="6" borderId="10" xfId="0" applyFont="1" applyFill="1" applyBorder="1" applyAlignment="1">
      <alignment horizontal="center" vertical="center"/>
    </xf>
    <xf numFmtId="0" fontId="1" fillId="2" borderId="1" xfId="0" applyFont="1" applyFill="1" applyBorder="1" applyAlignment="1">
      <alignment horizontal="center" vertical="center"/>
    </xf>
    <xf numFmtId="0" fontId="1" fillId="2" borderId="1" xfId="0" applyFont="1" applyFill="1" applyBorder="1" applyAlignment="1">
      <alignment vertical="center"/>
    </xf>
    <xf numFmtId="0" fontId="1" fillId="2" borderId="1" xfId="0" applyFont="1" applyFill="1" applyBorder="1" applyAlignment="1">
      <alignment horizontal="left" vertical="center" wrapText="1"/>
    </xf>
    <xf numFmtId="0" fontId="1" fillId="5" borderId="1" xfId="0" applyFont="1" applyFill="1" applyBorder="1" applyAlignment="1">
      <alignment horizontal="right" vertical="center"/>
    </xf>
    <xf numFmtId="0" fontId="1" fillId="7" borderId="6" xfId="0" applyFont="1" applyFill="1" applyBorder="1" applyAlignment="1">
      <alignment horizontal="center" vertical="center"/>
    </xf>
    <xf numFmtId="0" fontId="0" fillId="7" borderId="6" xfId="0" applyFill="1" applyBorder="1" applyAlignment="1">
      <alignment vertical="center"/>
    </xf>
    <xf numFmtId="0" fontId="0" fillId="7" borderId="6" xfId="0" applyFill="1" applyBorder="1" applyAlignment="1">
      <alignment horizontal="center" vertical="center"/>
    </xf>
    <xf numFmtId="0" fontId="0" fillId="3" borderId="6" xfId="0" applyFill="1" applyBorder="1" applyAlignment="1">
      <alignment horizontal="right" vertical="center"/>
    </xf>
    <xf numFmtId="0" fontId="1" fillId="7" borderId="6" xfId="0" applyFont="1" applyFill="1" applyBorder="1" applyAlignment="1">
      <alignment horizontal="left" vertical="center"/>
    </xf>
    <xf numFmtId="0" fontId="0" fillId="4" borderId="6" xfId="0" applyFill="1" applyBorder="1" applyAlignment="1">
      <alignment horizontal="center" vertical="center" wrapText="1"/>
    </xf>
    <xf numFmtId="0" fontId="0" fillId="5" borderId="6" xfId="0" applyFill="1" applyBorder="1" applyAlignment="1">
      <alignment horizontal="right" vertical="center"/>
    </xf>
    <xf numFmtId="0" fontId="1" fillId="7" borderId="7" xfId="0" applyFont="1" applyFill="1" applyBorder="1" applyAlignment="1">
      <alignment horizontal="center" vertical="center"/>
    </xf>
    <xf numFmtId="0" fontId="0" fillId="3" borderId="1" xfId="0" applyFill="1" applyBorder="1" applyAlignment="1">
      <alignment horizontal="right" vertical="center"/>
    </xf>
    <xf numFmtId="0" fontId="1" fillId="2" borderId="10" xfId="0" applyFont="1" applyFill="1" applyBorder="1" applyAlignment="1">
      <alignment horizontal="center" vertical="center"/>
    </xf>
    <xf numFmtId="0" fontId="1" fillId="2" borderId="9" xfId="0" applyFont="1" applyFill="1" applyBorder="1" applyAlignment="1">
      <alignment horizontal="center" vertical="center"/>
    </xf>
    <xf numFmtId="0" fontId="1" fillId="0" borderId="0" xfId="0" applyFont="1" applyAlignment="1">
      <alignment horizontal="center" vertical="center"/>
    </xf>
    <xf numFmtId="0" fontId="5" fillId="8" borderId="12" xfId="0" applyFont="1" applyFill="1" applyBorder="1" applyAlignment="1">
      <alignment horizontal="centerContinuous" vertical="center"/>
    </xf>
    <xf numFmtId="0" fontId="6" fillId="8" borderId="13" xfId="0" applyFont="1" applyFill="1" applyBorder="1" applyAlignment="1">
      <alignment horizontal="centerContinuous"/>
    </xf>
    <xf numFmtId="166" fontId="6" fillId="8" borderId="14" xfId="0" applyNumberFormat="1" applyFont="1" applyFill="1" applyBorder="1" applyAlignment="1">
      <alignment horizontal="center" vertical="center"/>
    </xf>
    <xf numFmtId="0" fontId="5" fillId="8" borderId="5" xfId="0" applyFont="1" applyFill="1" applyBorder="1" applyAlignment="1">
      <alignment horizontal="centerContinuous" vertical="center"/>
    </xf>
    <xf numFmtId="0" fontId="6" fillId="8" borderId="6" xfId="0" applyFont="1" applyFill="1" applyBorder="1" applyAlignment="1">
      <alignment horizontal="centerContinuous"/>
    </xf>
    <xf numFmtId="166" fontId="6" fillId="8" borderId="7" xfId="0" applyNumberFormat="1" applyFont="1" applyFill="1" applyBorder="1" applyAlignment="1">
      <alignment horizontal="center" vertical="center"/>
    </xf>
    <xf numFmtId="0" fontId="5" fillId="8" borderId="15" xfId="0" applyFont="1" applyFill="1" applyBorder="1" applyAlignment="1">
      <alignment horizontal="centerContinuous" vertical="center"/>
    </xf>
    <xf numFmtId="0" fontId="6" fillId="8" borderId="16" xfId="0" applyFont="1" applyFill="1" applyBorder="1" applyAlignment="1">
      <alignment horizontal="centerContinuous"/>
    </xf>
    <xf numFmtId="166" fontId="6" fillId="8" borderId="17" xfId="0" applyNumberFormat="1" applyFont="1" applyFill="1" applyBorder="1" applyAlignment="1">
      <alignment horizontal="center" vertical="center"/>
    </xf>
    <xf numFmtId="0" fontId="7" fillId="0" borderId="0" xfId="0" applyFont="1" applyAlignment="1">
      <alignment horizontal="centerContinuous" vertical="center"/>
    </xf>
    <xf numFmtId="0" fontId="1" fillId="0" borderId="0" xfId="0" applyFont="1" applyAlignment="1">
      <alignment horizontal="centerContinuous"/>
    </xf>
    <xf numFmtId="164" fontId="1" fillId="3" borderId="1" xfId="0" applyNumberFormat="1" applyFont="1" applyFill="1" applyBorder="1" applyAlignment="1" applyProtection="1">
      <alignment horizontal="right" vertical="center"/>
    </xf>
    <xf numFmtId="164" fontId="0" fillId="3" borderId="1" xfId="0" applyNumberFormat="1" applyFill="1" applyBorder="1" applyAlignment="1" applyProtection="1">
      <alignment horizontal="right" vertical="center"/>
    </xf>
    <xf numFmtId="0" fontId="1" fillId="6" borderId="1" xfId="0" applyFont="1" applyFill="1" applyBorder="1" applyAlignment="1" applyProtection="1">
      <alignment horizontal="center" vertical="center"/>
    </xf>
    <xf numFmtId="0" fontId="1" fillId="2" borderId="1" xfId="0" applyFont="1" applyFill="1" applyBorder="1" applyAlignment="1" applyProtection="1">
      <alignment horizontal="center" vertical="center"/>
    </xf>
    <xf numFmtId="49" fontId="2" fillId="0" borderId="1" xfId="0" applyNumberFormat="1" applyFont="1" applyFill="1" applyBorder="1" applyAlignment="1">
      <alignment horizontal="center" vertical="center"/>
    </xf>
    <xf numFmtId="0" fontId="0" fillId="0" borderId="8" xfId="0" applyFill="1" applyBorder="1" applyAlignment="1">
      <alignment horizontal="center" vertical="center"/>
    </xf>
    <xf numFmtId="0" fontId="0" fillId="0" borderId="6" xfId="0" applyFill="1" applyBorder="1" applyAlignment="1">
      <alignment vertical="center"/>
    </xf>
    <xf numFmtId="0" fontId="1" fillId="0" borderId="6" xfId="0" applyFont="1" applyFill="1" applyBorder="1" applyAlignment="1">
      <alignment horizontal="left" vertical="center"/>
    </xf>
    <xf numFmtId="0" fontId="1" fillId="0" borderId="7" xfId="0" applyFont="1" applyFill="1" applyBorder="1" applyAlignment="1">
      <alignment horizontal="center" vertical="center"/>
    </xf>
    <xf numFmtId="0" fontId="0" fillId="0" borderId="0" xfId="0" applyFill="1"/>
    <xf numFmtId="0" fontId="0" fillId="0" borderId="1" xfId="0" applyFill="1" applyBorder="1" applyAlignment="1">
      <alignment horizontal="center" vertical="center"/>
    </xf>
    <xf numFmtId="0" fontId="0" fillId="0" borderId="1" xfId="0" applyFill="1" applyBorder="1" applyAlignment="1">
      <alignment vertical="center"/>
    </xf>
    <xf numFmtId="0" fontId="1" fillId="0" borderId="1" xfId="0" applyFont="1" applyFill="1" applyBorder="1" applyAlignment="1">
      <alignment horizontal="left" vertical="center"/>
    </xf>
    <xf numFmtId="0" fontId="1" fillId="0" borderId="10" xfId="0" applyFont="1" applyFill="1" applyBorder="1" applyAlignment="1">
      <alignment horizontal="center" vertical="center"/>
    </xf>
    <xf numFmtId="0" fontId="1" fillId="0" borderId="3" xfId="0" applyFont="1" applyFill="1" applyBorder="1" applyAlignment="1">
      <alignment horizontal="center" vertical="center" wrapText="1"/>
    </xf>
    <xf numFmtId="49" fontId="2" fillId="0" borderId="3" xfId="0" applyNumberFormat="1" applyFont="1" applyFill="1" applyBorder="1" applyAlignment="1">
      <alignment horizontal="center" vertical="center" wrapText="1"/>
    </xf>
    <xf numFmtId="0" fontId="1" fillId="0" borderId="4" xfId="0" applyFont="1" applyFill="1" applyBorder="1" applyAlignment="1">
      <alignment horizontal="center" vertical="center" wrapText="1"/>
    </xf>
    <xf numFmtId="0" fontId="3" fillId="0" borderId="1" xfId="0" applyFont="1" applyFill="1" applyBorder="1" applyAlignment="1">
      <alignment vertical="center" wrapText="1"/>
    </xf>
    <xf numFmtId="0" fontId="1" fillId="0" borderId="2" xfId="0" applyFont="1" applyFill="1" applyBorder="1" applyAlignment="1">
      <alignment horizontal="center" vertical="center" wrapText="1"/>
    </xf>
    <xf numFmtId="0" fontId="0" fillId="0" borderId="0" xfId="0" applyFont="1"/>
    <xf numFmtId="0" fontId="8" fillId="0" borderId="0" xfId="0" applyNumberFormat="1" applyFont="1" applyAlignment="1">
      <alignment horizontal="right" vertical="center" wrapText="1"/>
    </xf>
    <xf numFmtId="0" fontId="8" fillId="0" borderId="0" xfId="0" applyNumberFormat="1" applyFont="1" applyAlignment="1">
      <alignment horizontal="centerContinuous" vertical="center" wrapText="1"/>
    </xf>
    <xf numFmtId="0" fontId="9" fillId="0" borderId="0" xfId="0" applyNumberFormat="1" applyFont="1" applyAlignment="1">
      <alignment horizontal="centerContinuous"/>
    </xf>
    <xf numFmtId="166" fontId="1" fillId="2" borderId="10" xfId="0" applyNumberFormat="1" applyFont="1" applyFill="1" applyBorder="1" applyAlignment="1" applyProtection="1">
      <alignment horizontal="center" vertical="center"/>
    </xf>
    <xf numFmtId="165" fontId="1" fillId="5" borderId="1" xfId="0" applyNumberFormat="1" applyFont="1" applyFill="1" applyBorder="1" applyAlignment="1" applyProtection="1">
      <alignment horizontal="right" vertical="center"/>
    </xf>
    <xf numFmtId="0" fontId="1" fillId="5" borderId="1" xfId="0" applyFont="1" applyFill="1" applyBorder="1" applyAlignment="1" applyProtection="1">
      <alignment horizontal="right" vertical="center"/>
    </xf>
    <xf numFmtId="1" fontId="2" fillId="0" borderId="9" xfId="0" applyNumberFormat="1" applyFont="1" applyBorder="1" applyAlignment="1" applyProtection="1">
      <alignment horizontal="center" vertical="center"/>
    </xf>
    <xf numFmtId="1" fontId="2" fillId="6" borderId="9" xfId="0" applyNumberFormat="1" applyFont="1" applyFill="1" applyBorder="1" applyAlignment="1" applyProtection="1">
      <alignment horizontal="center" vertical="center"/>
    </xf>
    <xf numFmtId="1" fontId="2" fillId="2" borderId="9" xfId="0" applyNumberFormat="1" applyFont="1" applyFill="1" applyBorder="1" applyAlignment="1" applyProtection="1">
      <alignment horizontal="center" vertical="center"/>
    </xf>
    <xf numFmtId="1" fontId="2" fillId="7" borderId="5" xfId="0" applyNumberFormat="1" applyFont="1" applyFill="1" applyBorder="1" applyAlignment="1" applyProtection="1">
      <alignment horizontal="center" vertical="center"/>
    </xf>
    <xf numFmtId="1" fontId="2" fillId="0" borderId="9" xfId="0" applyNumberFormat="1" applyFont="1" applyFill="1" applyBorder="1" applyAlignment="1" applyProtection="1">
      <alignment horizontal="center" vertical="center"/>
    </xf>
    <xf numFmtId="0" fontId="0" fillId="7" borderId="18" xfId="0" applyFill="1" applyBorder="1" applyAlignment="1">
      <alignment horizontal="center" vertical="center"/>
    </xf>
    <xf numFmtId="0" fontId="1" fillId="7" borderId="19" xfId="0" applyFont="1" applyFill="1" applyBorder="1" applyAlignment="1">
      <alignment horizontal="center" vertical="center"/>
    </xf>
    <xf numFmtId="0" fontId="0" fillId="7" borderId="19" xfId="0" applyFill="1" applyBorder="1" applyAlignment="1">
      <alignment vertical="center"/>
    </xf>
    <xf numFmtId="0" fontId="0" fillId="7" borderId="19" xfId="0" applyFill="1" applyBorder="1" applyAlignment="1">
      <alignment horizontal="center" vertical="center"/>
    </xf>
    <xf numFmtId="0" fontId="0" fillId="7" borderId="19" xfId="0" applyFont="1" applyFill="1" applyBorder="1" applyAlignment="1">
      <alignment horizontal="center" vertical="center"/>
    </xf>
    <xf numFmtId="0" fontId="0" fillId="7" borderId="19" xfId="0" applyFont="1" applyFill="1" applyBorder="1" applyAlignment="1">
      <alignment vertical="center"/>
    </xf>
    <xf numFmtId="0" fontId="1" fillId="7" borderId="20" xfId="0" applyFont="1" applyFill="1" applyBorder="1" applyAlignment="1">
      <alignment horizontal="center" vertical="center"/>
    </xf>
    <xf numFmtId="0" fontId="10" fillId="0" borderId="11" xfId="0" applyFont="1" applyBorder="1" applyAlignment="1">
      <alignment horizontal="center" vertical="center"/>
    </xf>
  </cellXfs>
  <cellStyles count="1">
    <cellStyle name="Normal" xfId="0" builtinId="0"/>
  </cellStyles>
  <dxfs count="17">
    <dxf>
      <fill>
        <patternFill>
          <bgColor rgb="FFFA0000"/>
        </patternFill>
      </fill>
    </dxf>
    <dxf>
      <fill>
        <patternFill>
          <bgColor rgb="FFFA0000"/>
        </patternFill>
      </fill>
    </dxf>
    <dxf>
      <fill>
        <patternFill>
          <bgColor rgb="FFFA0000"/>
        </patternFill>
      </fill>
    </dxf>
    <dxf>
      <fill>
        <patternFill>
          <bgColor rgb="FFFA0000"/>
        </patternFill>
      </fill>
    </dxf>
    <dxf>
      <fill>
        <patternFill>
          <bgColor rgb="FFFA0000"/>
        </patternFill>
      </fill>
    </dxf>
    <dxf>
      <fill>
        <patternFill>
          <bgColor rgb="FFFA0000"/>
        </patternFill>
      </fill>
    </dxf>
    <dxf>
      <fill>
        <patternFill>
          <bgColor rgb="FFFA0000"/>
        </patternFill>
      </fill>
    </dxf>
    <dxf>
      <fill>
        <patternFill>
          <bgColor rgb="FFFA0000"/>
        </patternFill>
      </fill>
    </dxf>
    <dxf>
      <fill>
        <patternFill>
          <bgColor rgb="FFFA0000"/>
        </patternFill>
      </fill>
    </dxf>
    <dxf>
      <fill>
        <patternFill>
          <bgColor rgb="FFFA0000"/>
        </patternFill>
      </fill>
    </dxf>
    <dxf>
      <fill>
        <patternFill>
          <bgColor rgb="FFFA0000"/>
        </patternFill>
      </fill>
    </dxf>
    <dxf>
      <fill>
        <patternFill>
          <bgColor rgb="FFFA0000"/>
        </patternFill>
      </fill>
    </dxf>
    <dxf>
      <fill>
        <patternFill>
          <bgColor rgb="FFFA0000"/>
        </patternFill>
      </fill>
    </dxf>
    <dxf>
      <fill>
        <patternFill>
          <bgColor rgb="FFFA0000"/>
        </patternFill>
      </fill>
    </dxf>
    <dxf>
      <fill>
        <patternFill>
          <bgColor rgb="FFFA0000"/>
        </patternFill>
      </fill>
    </dxf>
    <dxf>
      <fill>
        <patternFill>
          <bgColor rgb="FFFA0000"/>
        </patternFill>
      </fill>
    </dxf>
    <dxf>
      <fill>
        <patternFill>
          <bgColor rgb="FFFA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15180B-B68C-4D19-9563-6B43CD55184B}">
  <dimension ref="A1:N74"/>
  <sheetViews>
    <sheetView showGridLines="0" tabSelected="1" zoomScaleNormal="100" workbookViewId="0">
      <pane ySplit="2" topLeftCell="A3" activePane="bottomLeft" state="frozen"/>
      <selection pane="bottomLeft" activeCell="A3" sqref="A3"/>
    </sheetView>
  </sheetViews>
  <sheetFormatPr defaultColWidth="0" defaultRowHeight="14.4" zeroHeight="1" x14ac:dyDescent="0.3"/>
  <cols>
    <col min="1" max="1" width="10.77734375" style="1" customWidth="1"/>
    <col min="2" max="2" width="10.77734375" style="32" customWidth="1"/>
    <col min="3" max="3" width="69.77734375" style="2" customWidth="1"/>
    <col min="4" max="4" width="10.77734375" style="1" customWidth="1"/>
    <col min="5" max="7" width="10.77734375" style="2" customWidth="1"/>
    <col min="8" max="8" width="10.77734375" style="1" customWidth="1"/>
    <col min="9" max="9" width="10.77734375" style="3" customWidth="1"/>
    <col min="10" max="11" width="10.77734375" style="2" customWidth="1"/>
    <col min="12" max="12" width="9.44140625" style="2" bestFit="1" customWidth="1"/>
    <col min="13" max="13" width="12.77734375" customWidth="1"/>
    <col min="14" max="14" width="5.77734375" customWidth="1"/>
    <col min="15" max="16384" width="8.88671875" hidden="1"/>
  </cols>
  <sheetData>
    <row r="1" spans="1:12" ht="31.8" thickBot="1" x14ac:dyDescent="0.35">
      <c r="A1" s="82" t="s">
        <v>0</v>
      </c>
      <c r="B1" s="82"/>
      <c r="C1" s="82"/>
      <c r="D1" s="82"/>
      <c r="E1" s="82"/>
      <c r="F1" s="82"/>
      <c r="G1" s="82"/>
      <c r="H1" s="82"/>
      <c r="I1" s="82"/>
      <c r="J1" s="82"/>
      <c r="K1" s="82"/>
      <c r="L1" s="82"/>
    </row>
    <row r="2" spans="1:12" s="53" customFormat="1" ht="31.8" thickTop="1" x14ac:dyDescent="0.3">
      <c r="A2" s="62" t="s">
        <v>1</v>
      </c>
      <c r="B2" s="59" t="s">
        <v>2</v>
      </c>
      <c r="C2" s="58" t="s">
        <v>3</v>
      </c>
      <c r="D2" s="58" t="s">
        <v>4</v>
      </c>
      <c r="E2" s="58" t="s">
        <v>5</v>
      </c>
      <c r="F2" s="58" t="s">
        <v>6</v>
      </c>
      <c r="G2" s="58" t="s">
        <v>7</v>
      </c>
      <c r="H2" s="58" t="s">
        <v>8</v>
      </c>
      <c r="I2" s="58" t="s">
        <v>9</v>
      </c>
      <c r="J2" s="58" t="s">
        <v>10</v>
      </c>
      <c r="K2" s="58" t="s">
        <v>11</v>
      </c>
      <c r="L2" s="60" t="s">
        <v>12</v>
      </c>
    </row>
    <row r="3" spans="1:12" s="53" customFormat="1" ht="81" x14ac:dyDescent="0.3">
      <c r="A3" s="74">
        <f>IFERROR(LOOKUP(2,1/(ISNUMBER($A$2:$A$2)),$A$2:$A$2),0)+1</f>
        <v>1</v>
      </c>
      <c r="B3" s="48" t="s">
        <v>13</v>
      </c>
      <c r="C3" s="61" t="s">
        <v>14</v>
      </c>
      <c r="D3" s="49"/>
      <c r="E3" s="50"/>
      <c r="F3" s="50"/>
      <c r="G3" s="50"/>
      <c r="H3" s="24"/>
      <c r="I3" s="51"/>
      <c r="J3" s="26"/>
      <c r="K3" s="27"/>
      <c r="L3" s="52"/>
    </row>
    <row r="4" spans="1:12" ht="15.6" x14ac:dyDescent="0.3">
      <c r="A4" s="70"/>
      <c r="B4" s="4"/>
      <c r="C4" s="5"/>
      <c r="D4" s="6">
        <v>8</v>
      </c>
      <c r="E4" s="5">
        <v>4.5</v>
      </c>
      <c r="F4" s="5">
        <v>4.5</v>
      </c>
      <c r="G4" s="5">
        <v>4</v>
      </c>
      <c r="H4" s="45">
        <f>D4*IF(OR(E4=0,E4="-"),1,E4)*IF(OR(F4=0,F4="-"),1,F4)*IF(OR(G4=0,G4="-"),1,G4)</f>
        <v>648</v>
      </c>
      <c r="I4" s="7" t="s">
        <v>15</v>
      </c>
      <c r="J4" s="8"/>
      <c r="K4" s="9"/>
      <c r="L4" s="10"/>
    </row>
    <row r="5" spans="1:12" ht="15.6" x14ac:dyDescent="0.3">
      <c r="A5" s="71"/>
      <c r="B5" s="11"/>
      <c r="C5" s="12"/>
      <c r="D5" s="11"/>
      <c r="E5" s="12"/>
      <c r="F5" s="46" t="s">
        <v>16</v>
      </c>
      <c r="G5" s="46"/>
      <c r="H5" s="44">
        <f>SUM(H4:INDEX(H:H,ROW()-1))</f>
        <v>648</v>
      </c>
      <c r="I5" s="13" t="s">
        <v>15</v>
      </c>
      <c r="J5" s="14"/>
      <c r="K5" s="68" t="str">
        <f>""</f>
        <v/>
      </c>
      <c r="L5" s="16"/>
    </row>
    <row r="6" spans="1:12" ht="28.8" x14ac:dyDescent="0.3">
      <c r="A6" s="72"/>
      <c r="B6" s="17"/>
      <c r="C6" s="18"/>
      <c r="D6" s="17"/>
      <c r="E6" s="47" t="s">
        <v>17</v>
      </c>
      <c r="F6" s="47"/>
      <c r="G6" s="47"/>
      <c r="H6" s="44">
        <f>ROUND(H5*0.0283,3)</f>
        <v>18.338000000000001</v>
      </c>
      <c r="I6" s="19" t="s">
        <v>18</v>
      </c>
      <c r="J6" s="14" t="s">
        <v>19</v>
      </c>
      <c r="K6" s="69">
        <f>IF(B3="4.14.1",_xlfn.IFS(J6="Labour Rate",20,J6="Machinery Rate",63,J6="Through Rate",83,TRUE,""),"")</f>
        <v>83</v>
      </c>
      <c r="L6" s="67">
        <f>IF(H6*K6&lt;&gt;0,H6*K6,0)</f>
        <v>1522.0540000000001</v>
      </c>
    </row>
    <row r="7" spans="1:12" ht="13.95" customHeight="1" x14ac:dyDescent="0.3">
      <c r="A7" s="73"/>
      <c r="B7" s="21"/>
      <c r="C7" s="22"/>
      <c r="D7" s="23"/>
      <c r="E7" s="22"/>
      <c r="F7" s="22"/>
      <c r="G7" s="22"/>
      <c r="H7" s="24"/>
      <c r="I7" s="25"/>
      <c r="J7" s="26"/>
      <c r="K7" s="27"/>
      <c r="L7" s="28"/>
    </row>
    <row r="8" spans="1:12" s="53" customFormat="1" ht="39.6" x14ac:dyDescent="0.3">
      <c r="A8" s="74">
        <f>IFERROR(LOOKUP(2,1/(ISNUMBER($A$2:$A$7)),$A$2:$A$7),0)+1</f>
        <v>2</v>
      </c>
      <c r="B8" s="48" t="s">
        <v>20</v>
      </c>
      <c r="C8" s="61" t="s">
        <v>21</v>
      </c>
      <c r="D8" s="54"/>
      <c r="E8" s="55"/>
      <c r="F8" s="55"/>
      <c r="G8" s="55"/>
      <c r="H8" s="29"/>
      <c r="I8" s="56"/>
      <c r="J8" s="8"/>
      <c r="K8" s="15" t="str">
        <f>""</f>
        <v/>
      </c>
      <c r="L8" s="57"/>
    </row>
    <row r="9" spans="1:12" ht="15.6" x14ac:dyDescent="0.3">
      <c r="A9" s="72"/>
      <c r="B9" s="17"/>
      <c r="C9" s="18"/>
      <c r="D9" s="17">
        <v>8</v>
      </c>
      <c r="E9" s="18">
        <v>4.4000000000000004</v>
      </c>
      <c r="F9" s="18">
        <v>4.5</v>
      </c>
      <c r="G9" s="18">
        <v>0.5</v>
      </c>
      <c r="H9" s="44">
        <f>D9*IF(OR(E9=0,E9="-"),1,E9)*IF(OR(F9=0,F9="-"),1,F9)*IF(OR(G9=0,G9="-"),1,G9)</f>
        <v>79.2</v>
      </c>
      <c r="I9" s="19" t="s">
        <v>15</v>
      </c>
      <c r="J9" s="14"/>
      <c r="K9" s="20"/>
      <c r="L9" s="30"/>
    </row>
    <row r="10" spans="1:12" ht="15.6" x14ac:dyDescent="0.3">
      <c r="A10" s="71"/>
      <c r="B10" s="11"/>
      <c r="C10" s="12"/>
      <c r="D10" s="11"/>
      <c r="E10" s="12"/>
      <c r="F10" s="46" t="s">
        <v>16</v>
      </c>
      <c r="G10" s="46"/>
      <c r="H10" s="44">
        <f>SUM(H9:INDEX(H:H,ROW()-1))</f>
        <v>79.2</v>
      </c>
      <c r="I10" s="13" t="s">
        <v>15</v>
      </c>
      <c r="J10" s="14"/>
      <c r="K10" s="68" t="str">
        <f>""</f>
        <v/>
      </c>
      <c r="L10" s="16"/>
    </row>
    <row r="11" spans="1:12" ht="28.8" x14ac:dyDescent="0.3">
      <c r="A11" s="72"/>
      <c r="B11" s="17"/>
      <c r="C11" s="18"/>
      <c r="D11" s="17"/>
      <c r="E11" s="47" t="s">
        <v>17</v>
      </c>
      <c r="F11" s="47"/>
      <c r="G11" s="47"/>
      <c r="H11" s="44">
        <f>ROUND(H10*0.0283,3)</f>
        <v>2.2410000000000001</v>
      </c>
      <c r="I11" s="19" t="s">
        <v>18</v>
      </c>
      <c r="J11" s="14" t="s">
        <v>19</v>
      </c>
      <c r="K11" s="69">
        <f>IF(B8="10.100.2",_xlfn.IFS(J11="Labour Rate",274,J11="Material Rate",1588,J11="Through Rate",1863,TRUE,""),"")</f>
        <v>1863</v>
      </c>
      <c r="L11" s="67">
        <f>IF(H11*K11&lt;&gt;0,H11*K11,0)</f>
        <v>4174.9830000000002</v>
      </c>
    </row>
    <row r="12" spans="1:12" ht="13.95" customHeight="1" x14ac:dyDescent="0.3">
      <c r="A12" s="73"/>
      <c r="B12" s="21"/>
      <c r="C12" s="22"/>
      <c r="D12" s="23"/>
      <c r="E12" s="22"/>
      <c r="F12" s="22"/>
      <c r="G12" s="22"/>
      <c r="H12" s="24"/>
      <c r="I12" s="25"/>
      <c r="J12" s="26"/>
      <c r="K12" s="27"/>
      <c r="L12" s="28"/>
    </row>
    <row r="13" spans="1:12" s="53" customFormat="1" ht="65.400000000000006" x14ac:dyDescent="0.3">
      <c r="A13" s="74">
        <f>IFERROR(LOOKUP(2,1/(ISNUMBER($A$2:$A$12)),$A$2:$A$12),0)+1</f>
        <v>3</v>
      </c>
      <c r="B13" s="48" t="s">
        <v>22</v>
      </c>
      <c r="C13" s="61" t="s">
        <v>23</v>
      </c>
      <c r="D13" s="49"/>
      <c r="E13" s="50"/>
      <c r="F13" s="50"/>
      <c r="G13" s="50"/>
      <c r="H13" s="24"/>
      <c r="I13" s="51"/>
      <c r="J13" s="26"/>
      <c r="K13" s="27"/>
      <c r="L13" s="52"/>
    </row>
    <row r="14" spans="1:12" ht="15.6" x14ac:dyDescent="0.3">
      <c r="A14" s="70"/>
      <c r="B14" s="4"/>
      <c r="C14" s="5"/>
      <c r="D14" s="6">
        <v>8</v>
      </c>
      <c r="E14" s="5">
        <v>4</v>
      </c>
      <c r="F14" s="5">
        <v>4</v>
      </c>
      <c r="G14" s="5">
        <v>1.5</v>
      </c>
      <c r="H14" s="45">
        <f>D14*IF(OR(E14=0,E14="-"),1,E14)*IF(OR(F14=0,F14="-"),1,F14)*IF(OR(G14=0,G14="-"),1,G14)</f>
        <v>192</v>
      </c>
      <c r="I14" s="7" t="s">
        <v>15</v>
      </c>
      <c r="J14" s="8"/>
      <c r="K14" s="9"/>
      <c r="L14" s="10"/>
    </row>
    <row r="15" spans="1:12" ht="15.6" x14ac:dyDescent="0.3">
      <c r="A15" s="70"/>
      <c r="B15" s="4"/>
      <c r="C15" s="5"/>
      <c r="D15" s="6">
        <v>8</v>
      </c>
      <c r="E15" s="5">
        <v>2.5</v>
      </c>
      <c r="F15" s="5">
        <v>2.5</v>
      </c>
      <c r="G15" s="5">
        <v>2</v>
      </c>
      <c r="H15" s="45">
        <f>D15*IF(OR(E15=0,E15="-"),1,E15)*IF(OR(F15=0,F15="-"),1,F15)*IF(OR(G15=0,G15="-"),1,G15)</f>
        <v>100</v>
      </c>
      <c r="I15" s="7" t="s">
        <v>15</v>
      </c>
      <c r="J15" s="8"/>
      <c r="K15" s="9"/>
      <c r="L15" s="10"/>
    </row>
    <row r="16" spans="1:12" ht="15.6" x14ac:dyDescent="0.3">
      <c r="A16" s="71"/>
      <c r="B16" s="11"/>
      <c r="C16" s="12"/>
      <c r="D16" s="11"/>
      <c r="E16" s="12"/>
      <c r="F16" s="46" t="s">
        <v>16</v>
      </c>
      <c r="G16" s="46"/>
      <c r="H16" s="44">
        <f>SUM(H14:INDEX(H:H,ROW()-1))</f>
        <v>292</v>
      </c>
      <c r="I16" s="13" t="s">
        <v>15</v>
      </c>
      <c r="J16" s="14"/>
      <c r="K16" s="68" t="str">
        <f>""</f>
        <v/>
      </c>
      <c r="L16" s="16"/>
    </row>
    <row r="17" spans="1:12" ht="28.8" x14ac:dyDescent="0.3">
      <c r="A17" s="72"/>
      <c r="B17" s="17"/>
      <c r="C17" s="18"/>
      <c r="D17" s="17"/>
      <c r="E17" s="47" t="s">
        <v>17</v>
      </c>
      <c r="F17" s="47"/>
      <c r="G17" s="47"/>
      <c r="H17" s="44">
        <f>ROUND(H16*0.0283,3)</f>
        <v>8.2639999999999993</v>
      </c>
      <c r="I17" s="19" t="s">
        <v>18</v>
      </c>
      <c r="J17" s="14" t="s">
        <v>19</v>
      </c>
      <c r="K17" s="69">
        <f>IF(B13="6.14.1",_xlfn.IFS(J17="Labour Rate",1172,J17="Material Rate",3203,J17="Through Rate",4374,TRUE,""),"")</f>
        <v>4374</v>
      </c>
      <c r="L17" s="67">
        <f>IF(H17*K17&lt;&gt;0,H17*K17,0)</f>
        <v>36146.735999999997</v>
      </c>
    </row>
    <row r="18" spans="1:12" ht="13.95" customHeight="1" x14ac:dyDescent="0.3">
      <c r="A18" s="73"/>
      <c r="B18" s="21"/>
      <c r="C18" s="22"/>
      <c r="D18" s="23"/>
      <c r="E18" s="22"/>
      <c r="F18" s="22"/>
      <c r="G18" s="22"/>
      <c r="H18" s="24"/>
      <c r="I18" s="25"/>
      <c r="J18" s="26"/>
      <c r="K18" s="27"/>
      <c r="L18" s="28"/>
    </row>
    <row r="19" spans="1:12" s="53" customFormat="1" ht="53.4" x14ac:dyDescent="0.3">
      <c r="A19" s="74">
        <f>IFERROR(LOOKUP(2,1/(ISNUMBER($A$2:$A$18)),$A$2:$A$18),0)+1</f>
        <v>4</v>
      </c>
      <c r="B19" s="48" t="s">
        <v>24</v>
      </c>
      <c r="C19" s="61" t="s">
        <v>25</v>
      </c>
      <c r="D19" s="49"/>
      <c r="E19" s="50"/>
      <c r="F19" s="50"/>
      <c r="G19" s="50"/>
      <c r="H19" s="24"/>
      <c r="I19" s="51"/>
      <c r="J19" s="26"/>
      <c r="K19" s="27"/>
      <c r="L19" s="52"/>
    </row>
    <row r="20" spans="1:12" ht="15.6" x14ac:dyDescent="0.3">
      <c r="A20" s="70"/>
      <c r="B20" s="4"/>
      <c r="C20" s="5"/>
      <c r="D20" s="6">
        <v>8</v>
      </c>
      <c r="E20" s="5">
        <v>16</v>
      </c>
      <c r="F20" s="5"/>
      <c r="G20" s="5">
        <v>1.5</v>
      </c>
      <c r="H20" s="45">
        <f>D20*IF(OR(E20=0,E20="-"),1,E20)*IF(OR(F20=0,F20="-"),1,F20)*IF(OR(G20=0,G20="-"),1,G20)</f>
        <v>192</v>
      </c>
      <c r="I20" s="7" t="s">
        <v>26</v>
      </c>
      <c r="J20" s="8"/>
      <c r="K20" s="9"/>
      <c r="L20" s="10"/>
    </row>
    <row r="21" spans="1:12" ht="15.6" x14ac:dyDescent="0.3">
      <c r="A21" s="70"/>
      <c r="B21" s="4"/>
      <c r="C21" s="5"/>
      <c r="D21" s="6">
        <v>8</v>
      </c>
      <c r="E21" s="5">
        <v>10</v>
      </c>
      <c r="F21" s="5"/>
      <c r="G21" s="5">
        <v>2</v>
      </c>
      <c r="H21" s="45">
        <f>D21*IF(OR(E21=0,E21="-"),1,E21)*IF(OR(F21=0,F21="-"),1,F21)*IF(OR(G21=0,G21="-"),1,G21)</f>
        <v>160</v>
      </c>
      <c r="I21" s="7" t="s">
        <v>26</v>
      </c>
      <c r="J21" s="8"/>
      <c r="K21" s="9"/>
      <c r="L21" s="10"/>
    </row>
    <row r="22" spans="1:12" ht="15.6" x14ac:dyDescent="0.3">
      <c r="A22" s="71"/>
      <c r="B22" s="11"/>
      <c r="C22" s="12"/>
      <c r="D22" s="11"/>
      <c r="E22" s="12"/>
      <c r="F22" s="46" t="s">
        <v>27</v>
      </c>
      <c r="G22" s="46"/>
      <c r="H22" s="44">
        <f>SUM(H20:INDEX(H:H,ROW()-1))</f>
        <v>352</v>
      </c>
      <c r="I22" s="13" t="s">
        <v>26</v>
      </c>
      <c r="J22" s="14"/>
      <c r="K22" s="68" t="str">
        <f>""</f>
        <v/>
      </c>
      <c r="L22" s="16"/>
    </row>
    <row r="23" spans="1:12" ht="28.8" x14ac:dyDescent="0.3">
      <c r="A23" s="72"/>
      <c r="B23" s="17"/>
      <c r="C23" s="18"/>
      <c r="D23" s="17"/>
      <c r="E23" s="47" t="s">
        <v>28</v>
      </c>
      <c r="F23" s="47"/>
      <c r="G23" s="47"/>
      <c r="H23" s="44">
        <f>ROUND(H22*0.0929,3)</f>
        <v>32.701000000000001</v>
      </c>
      <c r="I23" s="19" t="s">
        <v>29</v>
      </c>
      <c r="J23" s="14" t="s">
        <v>19</v>
      </c>
      <c r="K23" s="69">
        <f>IF(B19="6.29.1",_xlfn.IFS(J23="Labour Rate",95,J23="Material Rate",61,J23="Through Rate",155,TRUE,""),"")</f>
        <v>155</v>
      </c>
      <c r="L23" s="67">
        <f>IF(H23*K23&lt;&gt;0,H23*K23,0)</f>
        <v>5068.6549999999997</v>
      </c>
    </row>
    <row r="24" spans="1:12" ht="13.95" customHeight="1" x14ac:dyDescent="0.3">
      <c r="A24" s="73"/>
      <c r="B24" s="21"/>
      <c r="C24" s="22"/>
      <c r="D24" s="23"/>
      <c r="E24" s="22"/>
      <c r="F24" s="22"/>
      <c r="G24" s="22"/>
      <c r="H24" s="24"/>
      <c r="I24" s="25"/>
      <c r="J24" s="26"/>
      <c r="K24" s="27"/>
      <c r="L24" s="28"/>
    </row>
    <row r="25" spans="1:12" s="53" customFormat="1" ht="108.6" x14ac:dyDescent="0.3">
      <c r="A25" s="74">
        <f>IFERROR(LOOKUP(2,1/(ISNUMBER($A$2:$A$24)),$A$2:$A$24),0)+1</f>
        <v>5</v>
      </c>
      <c r="B25" s="48" t="s">
        <v>30</v>
      </c>
      <c r="C25" s="61" t="s">
        <v>31</v>
      </c>
      <c r="D25" s="49"/>
      <c r="E25" s="50"/>
      <c r="F25" s="50"/>
      <c r="G25" s="50"/>
      <c r="H25" s="24"/>
      <c r="I25" s="51"/>
      <c r="J25" s="26"/>
      <c r="K25" s="27"/>
      <c r="L25" s="52"/>
    </row>
    <row r="26" spans="1:12" ht="15.6" x14ac:dyDescent="0.3">
      <c r="A26" s="70"/>
      <c r="B26" s="4"/>
      <c r="C26" s="5"/>
      <c r="D26" s="6">
        <v>1</v>
      </c>
      <c r="E26" s="5">
        <v>35</v>
      </c>
      <c r="F26" s="5">
        <v>30</v>
      </c>
      <c r="G26" s="5"/>
      <c r="H26" s="45">
        <f>D26*IF(OR(E26=0,E26="-"),1,E26)*IF(OR(F26=0,F26="-"),1,F26)*IF(OR(G26=0,G26="-"),1,G26)</f>
        <v>1050</v>
      </c>
      <c r="I26" s="7" t="s">
        <v>26</v>
      </c>
      <c r="J26" s="8"/>
      <c r="K26" s="9"/>
      <c r="L26" s="10"/>
    </row>
    <row r="27" spans="1:12" ht="15.6" x14ac:dyDescent="0.3">
      <c r="A27" s="70"/>
      <c r="B27" s="4"/>
      <c r="C27" s="5"/>
      <c r="D27" s="6">
        <v>2</v>
      </c>
      <c r="E27" s="5">
        <v>35</v>
      </c>
      <c r="F27" s="5">
        <v>3.5</v>
      </c>
      <c r="G27" s="5"/>
      <c r="H27" s="45">
        <f>D27*IF(OR(E27=0,E27="-"),1,E27)*IF(OR(F27=0,F27="-"),1,F27)*IF(OR(G27=0,G27="-"),1,G27)</f>
        <v>245</v>
      </c>
      <c r="I27" s="7" t="s">
        <v>26</v>
      </c>
      <c r="J27" s="8"/>
      <c r="K27" s="9"/>
      <c r="L27" s="10"/>
    </row>
    <row r="28" spans="1:12" ht="15.6" x14ac:dyDescent="0.3">
      <c r="A28" s="70"/>
      <c r="B28" s="4"/>
      <c r="C28" s="5"/>
      <c r="D28" s="6">
        <v>2</v>
      </c>
      <c r="E28" s="5">
        <v>30</v>
      </c>
      <c r="F28" s="5">
        <v>3.5</v>
      </c>
      <c r="G28" s="5"/>
      <c r="H28" s="45">
        <f>D28*IF(OR(E28=0,E28="-"),1,E28)*IF(OR(F28=0,F28="-"),1,F28)*IF(OR(G28=0,G28="-"),1,G28)</f>
        <v>210</v>
      </c>
      <c r="I28" s="7" t="s">
        <v>26</v>
      </c>
      <c r="J28" s="8"/>
      <c r="K28" s="9"/>
      <c r="L28" s="10"/>
    </row>
    <row r="29" spans="1:12" ht="15.6" x14ac:dyDescent="0.3">
      <c r="A29" s="71"/>
      <c r="B29" s="11"/>
      <c r="C29" s="12"/>
      <c r="D29" s="11"/>
      <c r="E29" s="12"/>
      <c r="F29" s="46" t="s">
        <v>27</v>
      </c>
      <c r="G29" s="46"/>
      <c r="H29" s="44">
        <f>SUM(H26:INDEX(H:H,ROW()-1))</f>
        <v>1505</v>
      </c>
      <c r="I29" s="13" t="s">
        <v>26</v>
      </c>
      <c r="J29" s="14"/>
      <c r="K29" s="68" t="str">
        <f>""</f>
        <v/>
      </c>
      <c r="L29" s="16"/>
    </row>
    <row r="30" spans="1:12" ht="28.8" x14ac:dyDescent="0.3">
      <c r="A30" s="72"/>
      <c r="B30" s="17"/>
      <c r="C30" s="18"/>
      <c r="D30" s="17"/>
      <c r="E30" s="47" t="s">
        <v>28</v>
      </c>
      <c r="F30" s="47"/>
      <c r="G30" s="47"/>
      <c r="H30" s="44">
        <f>ROUND(H29*0.0929,3)</f>
        <v>139.815</v>
      </c>
      <c r="I30" s="19" t="s">
        <v>29</v>
      </c>
      <c r="J30" s="14" t="s">
        <v>19</v>
      </c>
      <c r="K30" s="69">
        <f>IF(B25="9.22.3",_xlfn.IFS(J30="Labour Rate",74,J30="Material Rate",747,J30="Through Rate",822,TRUE,""),"")</f>
        <v>822</v>
      </c>
      <c r="L30" s="67">
        <f>IF(H30*K30&lt;&gt;0,H30*K30,0)</f>
        <v>114927.93</v>
      </c>
    </row>
    <row r="31" spans="1:12" ht="13.95" customHeight="1" x14ac:dyDescent="0.3">
      <c r="A31" s="73"/>
      <c r="B31" s="21"/>
      <c r="C31" s="22"/>
      <c r="D31" s="23"/>
      <c r="E31" s="22"/>
      <c r="F31" s="22"/>
      <c r="G31" s="22"/>
      <c r="H31" s="24"/>
      <c r="I31" s="25"/>
      <c r="J31" s="26"/>
      <c r="K31" s="27"/>
      <c r="L31" s="28"/>
    </row>
    <row r="32" spans="1:12" s="53" customFormat="1" ht="81" x14ac:dyDescent="0.3">
      <c r="A32" s="74">
        <f>IFERROR(LOOKUP(2,1/(ISNUMBER($A$2:$A$31)),$A$2:$A$31),0)+1</f>
        <v>6</v>
      </c>
      <c r="B32" s="48" t="s">
        <v>32</v>
      </c>
      <c r="C32" s="61" t="s">
        <v>33</v>
      </c>
      <c r="D32" s="49"/>
      <c r="E32" s="50"/>
      <c r="F32" s="50"/>
      <c r="G32" s="50"/>
      <c r="H32" s="24"/>
      <c r="I32" s="51"/>
      <c r="J32" s="26"/>
      <c r="K32" s="27"/>
      <c r="L32" s="52"/>
    </row>
    <row r="33" spans="1:12" ht="15.6" x14ac:dyDescent="0.3">
      <c r="A33" s="70"/>
      <c r="B33" s="4"/>
      <c r="C33" s="5"/>
      <c r="D33" s="6">
        <v>1</v>
      </c>
      <c r="E33" s="5">
        <v>1540</v>
      </c>
      <c r="F33" s="5"/>
      <c r="G33" s="5"/>
      <c r="H33" s="45">
        <f>D33*IF(OR(E33=0,E33="-"),1,E33)*IF(OR(F33=0,F33="-"),1,F33)*IF(OR(G33=0,G33="-"),1,G33)</f>
        <v>1540</v>
      </c>
      <c r="I33" s="7" t="s">
        <v>34</v>
      </c>
      <c r="J33" s="8"/>
      <c r="K33" s="9"/>
      <c r="L33" s="10"/>
    </row>
    <row r="34" spans="1:12" ht="15.6" x14ac:dyDescent="0.3">
      <c r="A34" s="71"/>
      <c r="B34" s="11"/>
      <c r="C34" s="12"/>
      <c r="D34" s="11"/>
      <c r="E34" s="12"/>
      <c r="F34" s="46" t="s">
        <v>35</v>
      </c>
      <c r="G34" s="46"/>
      <c r="H34" s="44">
        <f>SUM(H33:INDEX(H:H,ROW()-1))</f>
        <v>1540</v>
      </c>
      <c r="I34" s="13" t="s">
        <v>34</v>
      </c>
      <c r="J34" s="14"/>
      <c r="K34" s="68" t="str">
        <f>""</f>
        <v/>
      </c>
      <c r="L34" s="16"/>
    </row>
    <row r="35" spans="1:12" ht="28.8" x14ac:dyDescent="0.3">
      <c r="A35" s="72"/>
      <c r="B35" s="17"/>
      <c r="C35" s="18"/>
      <c r="D35" s="17"/>
      <c r="E35" s="47" t="s">
        <v>35</v>
      </c>
      <c r="F35" s="47"/>
      <c r="G35" s="47"/>
      <c r="H35" s="44">
        <f>ROUND(H34*1,3)</f>
        <v>1540</v>
      </c>
      <c r="I35" s="19" t="s">
        <v>34</v>
      </c>
      <c r="J35" s="14" t="s">
        <v>19</v>
      </c>
      <c r="K35" s="69">
        <f>IF(B32="13.30.1",_xlfn.IFS(J35="Labour Rate",20,J35="Material Rate",87,J35="Through Rate",105,TRUE,""),"")</f>
        <v>105</v>
      </c>
      <c r="L35" s="67">
        <f>IF(H35*K35&lt;&gt;0,H35*K35,0)</f>
        <v>161700</v>
      </c>
    </row>
    <row r="36" spans="1:12" ht="13.95" customHeight="1" x14ac:dyDescent="0.3">
      <c r="A36" s="73"/>
      <c r="B36" s="21"/>
      <c r="C36" s="22"/>
      <c r="D36" s="23"/>
      <c r="E36" s="22"/>
      <c r="F36" s="22"/>
      <c r="G36" s="22"/>
      <c r="H36" s="24"/>
      <c r="I36" s="25"/>
      <c r="J36" s="26"/>
      <c r="K36" s="27"/>
      <c r="L36" s="28"/>
    </row>
    <row r="37" spans="1:12" s="53" customFormat="1" ht="41.4" x14ac:dyDescent="0.3">
      <c r="A37" s="74">
        <f>IFERROR(LOOKUP(2,1/(ISNUMBER($A$2:$A$36)),$A$2:$A$36),0)+1</f>
        <v>7</v>
      </c>
      <c r="B37" s="48" t="s">
        <v>36</v>
      </c>
      <c r="C37" s="61" t="s">
        <v>37</v>
      </c>
      <c r="D37" s="49"/>
      <c r="E37" s="50"/>
      <c r="F37" s="50"/>
      <c r="G37" s="50"/>
      <c r="H37" s="24"/>
      <c r="I37" s="51"/>
      <c r="J37" s="26"/>
      <c r="K37" s="27"/>
      <c r="L37" s="52"/>
    </row>
    <row r="38" spans="1:12" ht="15.6" x14ac:dyDescent="0.3">
      <c r="A38" s="70"/>
      <c r="B38" s="4"/>
      <c r="C38" s="5"/>
      <c r="D38" s="6">
        <v>1</v>
      </c>
      <c r="E38" s="5">
        <v>35</v>
      </c>
      <c r="F38" s="5">
        <v>30</v>
      </c>
      <c r="G38" s="5"/>
      <c r="H38" s="45">
        <f>D38*IF(OR(E38=0,E38="-"),1,E38)*IF(OR(F38=0,F38="-"),1,F38)*IF(OR(G38=0,G38="-"),1,G38)</f>
        <v>1050</v>
      </c>
      <c r="I38" s="7" t="s">
        <v>26</v>
      </c>
      <c r="J38" s="8"/>
      <c r="K38" s="9"/>
      <c r="L38" s="10"/>
    </row>
    <row r="39" spans="1:12" ht="15.6" x14ac:dyDescent="0.3">
      <c r="A39" s="71"/>
      <c r="B39" s="11"/>
      <c r="C39" s="12"/>
      <c r="D39" s="11"/>
      <c r="E39" s="12"/>
      <c r="F39" s="46" t="s">
        <v>27</v>
      </c>
      <c r="G39" s="46"/>
      <c r="H39" s="44">
        <f>SUM(H38:INDEX(H:H,ROW()-1))</f>
        <v>1050</v>
      </c>
      <c r="I39" s="13" t="s">
        <v>26</v>
      </c>
      <c r="J39" s="14"/>
      <c r="K39" s="68" t="str">
        <f>""</f>
        <v/>
      </c>
      <c r="L39" s="16"/>
    </row>
    <row r="40" spans="1:12" ht="28.8" x14ac:dyDescent="0.3">
      <c r="A40" s="72"/>
      <c r="B40" s="17"/>
      <c r="C40" s="18"/>
      <c r="D40" s="17"/>
      <c r="E40" s="47" t="s">
        <v>28</v>
      </c>
      <c r="F40" s="47"/>
      <c r="G40" s="47"/>
      <c r="H40" s="44">
        <f>ROUND(H39*0.0929,3)</f>
        <v>97.545000000000002</v>
      </c>
      <c r="I40" s="19" t="s">
        <v>29</v>
      </c>
      <c r="J40" s="14" t="s">
        <v>19</v>
      </c>
      <c r="K40" s="69">
        <f>IF(B37="34.50",_xlfn.IFS(J40="Labour Rate",31,J40="Material Rate",29,J40="Through Rate",60,TRUE,""),"")</f>
        <v>60</v>
      </c>
      <c r="L40" s="67">
        <f>IF(H40*K40&lt;&gt;0,H40*K40,0)</f>
        <v>5852.7</v>
      </c>
    </row>
    <row r="41" spans="1:12" ht="13.95" customHeight="1" x14ac:dyDescent="0.3">
      <c r="A41" s="73"/>
      <c r="B41" s="21"/>
      <c r="C41" s="22"/>
      <c r="D41" s="23"/>
      <c r="E41" s="22"/>
      <c r="F41" s="22"/>
      <c r="G41" s="22"/>
      <c r="H41" s="24"/>
      <c r="I41" s="25"/>
      <c r="J41" s="26"/>
      <c r="K41" s="27"/>
      <c r="L41" s="28"/>
    </row>
    <row r="42" spans="1:12" s="53" customFormat="1" ht="150" x14ac:dyDescent="0.3">
      <c r="A42" s="74">
        <f>IFERROR(LOOKUP(2,1/(ISNUMBER($A$2:$A$41)),$A$2:$A$41),0)+1</f>
        <v>8</v>
      </c>
      <c r="B42" s="48" t="s">
        <v>38</v>
      </c>
      <c r="C42" s="61" t="s">
        <v>48</v>
      </c>
      <c r="D42" s="49"/>
      <c r="E42" s="50"/>
      <c r="F42" s="50"/>
      <c r="G42" s="50"/>
      <c r="H42" s="24"/>
      <c r="I42" s="51"/>
      <c r="J42" s="26"/>
      <c r="K42" s="27"/>
      <c r="L42" s="52"/>
    </row>
    <row r="43" spans="1:12" ht="15.6" x14ac:dyDescent="0.3">
      <c r="A43" s="70"/>
      <c r="B43" s="4"/>
      <c r="C43" s="5"/>
      <c r="D43" s="6">
        <v>1</v>
      </c>
      <c r="E43" s="5">
        <v>90</v>
      </c>
      <c r="F43" s="5"/>
      <c r="G43" s="5"/>
      <c r="H43" s="45">
        <f>D43*IF(OR(E43=0,E43="-"),1,E43)*IF(OR(F43=0,F43="-"),1,F43)*IF(OR(G43=0,G43="-"),1,G43)</f>
        <v>90</v>
      </c>
      <c r="I43" s="7" t="s">
        <v>34</v>
      </c>
      <c r="J43" s="8"/>
      <c r="K43" s="9"/>
      <c r="L43" s="10"/>
    </row>
    <row r="44" spans="1:12" ht="15.6" x14ac:dyDescent="0.3">
      <c r="A44" s="71"/>
      <c r="B44" s="11"/>
      <c r="C44" s="12"/>
      <c r="D44" s="11"/>
      <c r="E44" s="12"/>
      <c r="F44" s="46" t="s">
        <v>35</v>
      </c>
      <c r="G44" s="46"/>
      <c r="H44" s="44">
        <f>SUM(H43:INDEX(H:H,ROW()-1))</f>
        <v>90</v>
      </c>
      <c r="I44" s="13" t="s">
        <v>34</v>
      </c>
      <c r="J44" s="14"/>
      <c r="K44" s="68" t="str">
        <f>""</f>
        <v/>
      </c>
      <c r="L44" s="16"/>
    </row>
    <row r="45" spans="1:12" s="2" customFormat="1" ht="28.8" x14ac:dyDescent="0.3">
      <c r="A45" s="31" t="s">
        <v>39</v>
      </c>
      <c r="B45" s="17"/>
      <c r="C45" s="18"/>
      <c r="D45" s="17"/>
      <c r="E45" s="47" t="s">
        <v>35</v>
      </c>
      <c r="F45" s="47"/>
      <c r="G45" s="47"/>
      <c r="H45" s="44">
        <f>ROUND(H44*1,3)</f>
        <v>90</v>
      </c>
      <c r="I45" s="19" t="s">
        <v>34</v>
      </c>
      <c r="J45" s="14" t="s">
        <v>40</v>
      </c>
      <c r="K45" s="69">
        <f>IF(B42="6.33.3",_xlfn.IFS(J45="Labour Rate Amnd",6,J45="Material Rate Amnd",62,J45="Through Rate Amnd",68,J45="Labour Rate",2,J45="Material Rate",59,J45="Through Rate",61,TRUE,""),"")</f>
        <v>68</v>
      </c>
      <c r="L45" s="67">
        <f>IF(H45*K45&lt;&gt;0,H45*K45,0)</f>
        <v>6120</v>
      </c>
    </row>
    <row r="46" spans="1:12" ht="13.95" customHeight="1" thickBot="1" x14ac:dyDescent="0.35">
      <c r="A46" s="75"/>
      <c r="B46" s="76"/>
      <c r="C46" s="77"/>
      <c r="D46" s="78"/>
      <c r="E46" s="77"/>
      <c r="F46" s="77"/>
      <c r="G46" s="77"/>
      <c r="H46" s="79"/>
      <c r="I46" s="80"/>
      <c r="J46" s="80"/>
      <c r="K46" s="80"/>
      <c r="L46" s="81"/>
    </row>
    <row r="47" spans="1:12" ht="15" thickTop="1" x14ac:dyDescent="0.3">
      <c r="H47" s="63"/>
      <c r="I47" s="63"/>
      <c r="J47" s="33" t="s">
        <v>41</v>
      </c>
      <c r="K47" s="34"/>
      <c r="L47" s="35">
        <f>SUM(L3:INDEX(L:L,ROW()-1))</f>
        <v>335513.05800000002</v>
      </c>
    </row>
    <row r="48" spans="1:12" x14ac:dyDescent="0.3">
      <c r="H48" s="63"/>
      <c r="I48" s="63"/>
      <c r="J48" s="36" t="s">
        <v>42</v>
      </c>
      <c r="K48" s="37"/>
      <c r="L48" s="38">
        <f>$L$47*0.18</f>
        <v>60392.350440000002</v>
      </c>
    </row>
    <row r="49" spans="8:12" x14ac:dyDescent="0.3">
      <c r="H49" s="63"/>
      <c r="I49" s="63"/>
      <c r="J49" s="36" t="s">
        <v>43</v>
      </c>
      <c r="K49" s="37"/>
      <c r="L49" s="38">
        <f>$L$47+$L$48</f>
        <v>395905.40844000003</v>
      </c>
    </row>
    <row r="50" spans="8:12" x14ac:dyDescent="0.3">
      <c r="H50" s="63"/>
      <c r="I50" s="63"/>
      <c r="J50" s="36" t="s">
        <v>44</v>
      </c>
      <c r="K50" s="37"/>
      <c r="L50" s="38">
        <f>$L$49*0.01</f>
        <v>3959.0540844000002</v>
      </c>
    </row>
    <row r="51" spans="8:12" ht="15" thickBot="1" x14ac:dyDescent="0.35">
      <c r="H51" s="63"/>
      <c r="I51" s="63"/>
      <c r="J51" s="39" t="s">
        <v>45</v>
      </c>
      <c r="K51" s="40"/>
      <c r="L51" s="41">
        <f>$L$49+$L$50</f>
        <v>399864.46252440003</v>
      </c>
    </row>
    <row r="52" spans="8:12" ht="15" thickTop="1" x14ac:dyDescent="0.3">
      <c r="H52" s="63"/>
      <c r="I52" s="63"/>
      <c r="J52" s="42" t="s">
        <v>46</v>
      </c>
      <c r="K52" s="43"/>
      <c r="L52" s="32"/>
    </row>
    <row r="53" spans="8:12" ht="36" x14ac:dyDescent="0.3">
      <c r="H53" s="63"/>
      <c r="I53" s="64" t="s">
        <v>47</v>
      </c>
      <c r="J53" s="65" t="str">
        <f>IF(L51&gt;=10000000,ROUND(L51/10000000,2)&amp;" Crore",IF(L51&gt;=100000,ROUND(L51/100000,2)&amp;" Lakh",IF(L51&gt;=1000,ROUND(L51/1000,2)&amp;" Thousand",ROUND(L51,0)))) &amp; " Only"</f>
        <v>4 Lakh Only</v>
      </c>
      <c r="K53" s="66"/>
      <c r="L53" s="66"/>
    </row>
    <row r="54" spans="8:12" x14ac:dyDescent="0.3"/>
    <row r="55" spans="8:12" x14ac:dyDescent="0.3"/>
    <row r="56" spans="8:12" x14ac:dyDescent="0.3"/>
    <row r="66" ht="15" hidden="1" customHeight="1" x14ac:dyDescent="0.3"/>
    <row r="67" ht="15" hidden="1" customHeight="1" x14ac:dyDescent="0.3"/>
    <row r="68" ht="30" hidden="1" customHeight="1" x14ac:dyDescent="0.3"/>
    <row r="69" ht="30" hidden="1" customHeight="1" x14ac:dyDescent="0.3"/>
    <row r="70" ht="30" hidden="1" customHeight="1" x14ac:dyDescent="0.3"/>
    <row r="71" ht="15" hidden="1" customHeight="1" x14ac:dyDescent="0.3"/>
    <row r="72" ht="45" hidden="1" customHeight="1" x14ac:dyDescent="0.3"/>
    <row r="73" ht="60" hidden="1" customHeight="1" x14ac:dyDescent="0.3"/>
    <row r="74" ht="60" hidden="1" customHeight="1" x14ac:dyDescent="0.3"/>
  </sheetData>
  <mergeCells count="17">
    <mergeCell ref="E17:G17"/>
    <mergeCell ref="A1:L1"/>
    <mergeCell ref="F5:G5"/>
    <mergeCell ref="E6:G6"/>
    <mergeCell ref="F10:G10"/>
    <mergeCell ref="E11:G11"/>
    <mergeCell ref="F16:G16"/>
    <mergeCell ref="F39:G39"/>
    <mergeCell ref="E40:G40"/>
    <mergeCell ref="F44:G44"/>
    <mergeCell ref="E45:G45"/>
    <mergeCell ref="F22:G22"/>
    <mergeCell ref="E23:G23"/>
    <mergeCell ref="F29:G29"/>
    <mergeCell ref="E30:G30"/>
    <mergeCell ref="F34:G34"/>
    <mergeCell ref="E35:G35"/>
  </mergeCells>
  <conditionalFormatting sqref="K8">
    <cfRule type="expression" dxfId="15" priority="1" stopIfTrue="1">
      <formula>AND(ISNUMBER(K8),K8&lt;&gt;0)</formula>
    </cfRule>
  </conditionalFormatting>
  <conditionalFormatting sqref="K44">
    <cfRule type="expression" dxfId="7" priority="10" stopIfTrue="1">
      <formula>AND(ISNUMBER(K44),K44&lt;&gt;0)</formula>
    </cfRule>
  </conditionalFormatting>
  <conditionalFormatting sqref="K39">
    <cfRule type="expression" dxfId="6" priority="11" stopIfTrue="1">
      <formula>AND(ISNUMBER(K39),K39&lt;&gt;0)</formula>
    </cfRule>
  </conditionalFormatting>
  <conditionalFormatting sqref="K34">
    <cfRule type="expression" dxfId="5" priority="12" stopIfTrue="1">
      <formula>AND(ISNUMBER(K34),K34&lt;&gt;0)</formula>
    </cfRule>
  </conditionalFormatting>
  <conditionalFormatting sqref="K29">
    <cfRule type="expression" dxfId="4" priority="13" stopIfTrue="1">
      <formula>AND(ISNUMBER(K29),K29&lt;&gt;0)</formula>
    </cfRule>
  </conditionalFormatting>
  <conditionalFormatting sqref="K22">
    <cfRule type="expression" dxfId="3" priority="14" stopIfTrue="1">
      <formula>AND(ISNUMBER(K22),K22&lt;&gt;0)</formula>
    </cfRule>
  </conditionalFormatting>
  <conditionalFormatting sqref="K16">
    <cfRule type="expression" dxfId="2" priority="15" stopIfTrue="1">
      <formula>AND(ISNUMBER(K16),K16&lt;&gt;0)</formula>
    </cfRule>
  </conditionalFormatting>
  <conditionalFormatting sqref="K10">
    <cfRule type="expression" dxfId="1" priority="16" stopIfTrue="1">
      <formula>AND(ISNUMBER(K10),K10&lt;&gt;0)</formula>
    </cfRule>
  </conditionalFormatting>
  <conditionalFormatting sqref="K5">
    <cfRule type="expression" dxfId="0" priority="17" stopIfTrue="1">
      <formula>AND(ISNUMBER(K5),K5&lt;&gt;0)</formula>
    </cfRule>
  </conditionalFormatting>
  <dataValidations count="3">
    <dataValidation type="list" allowBlank="1" showInputMessage="1" showErrorMessage="1" sqref="J9 J17 J40 J35 J30 J23 J11" xr:uid="{A996B2C6-C078-48E0-B531-4AF885381363}">
      <formula1>"Through Rate,Material Rate,Labour Rate"</formula1>
    </dataValidation>
    <dataValidation type="list" allowBlank="1" showInputMessage="1" showErrorMessage="1" sqref="J45" xr:uid="{7D9C2C0C-2AEE-4CFD-A75A-9B0C7442BCF5}">
      <formula1>"Through Rate Amnd,Through Rate,Material Rate Amnd,Material Rate,Labour Rate Amnd,Labour Rate"</formula1>
    </dataValidation>
    <dataValidation type="list" allowBlank="1" showInputMessage="1" showErrorMessage="1" sqref="J6" xr:uid="{F6309553-6AF1-4D5F-9952-61DB6C0F7901}">
      <formula1>"Through Rate,Labour Rate,Machinery Rate"</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GarG BroThers</cp:lastModifiedBy>
  <dcterms:created xsi:type="dcterms:W3CDTF">2026-01-14T10:34:00Z</dcterms:created>
  <dcterms:modified xsi:type="dcterms:W3CDTF">2026-01-14T14:15:36Z</dcterms:modified>
</cp:coreProperties>
</file>