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rgar\Downloads\"/>
    </mc:Choice>
  </mc:AlternateContent>
  <xr:revisionPtr revIDLastSave="0" documentId="13_ncr:1_{DA8D6B6E-F9BF-49F0-8EB7-AE947951C4C7}" xr6:coauthVersionLast="47" xr6:coauthVersionMax="47" xr10:uidLastSave="{00000000-0000-0000-0000-000000000000}"/>
  <bookViews>
    <workbookView xWindow="-108" yWindow="-108" windowWidth="23256" windowHeight="12456" xr2:uid="{CC071F11-89A8-4AE1-8696-8071089D223C}"/>
  </bookViews>
  <sheets>
    <sheet name="R WALL 10.5H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2" l="1"/>
  <c r="A8" i="2" s="1"/>
  <c r="A13" i="2" s="1"/>
  <c r="A22" i="2" s="1"/>
  <c r="K5" i="2"/>
  <c r="K6" i="2"/>
  <c r="K10" i="2"/>
  <c r="K11" i="2"/>
  <c r="K19" i="2"/>
  <c r="K20" i="2"/>
  <c r="K24" i="2"/>
  <c r="K25" i="2"/>
  <c r="K29" i="2"/>
  <c r="K30" i="2"/>
  <c r="K34" i="2"/>
  <c r="K35" i="2"/>
  <c r="K39" i="2"/>
  <c r="K40" i="2"/>
  <c r="H5" i="2"/>
  <c r="H6" i="2" s="1"/>
  <c r="L6" i="2" s="1"/>
  <c r="H10" i="2"/>
  <c r="H11" i="2" s="1"/>
  <c r="L11" i="2" s="1"/>
  <c r="H4" i="2"/>
  <c r="H9" i="2"/>
  <c r="H18" i="2"/>
  <c r="H17" i="2"/>
  <c r="H16" i="2"/>
  <c r="H15" i="2"/>
  <c r="H14" i="2"/>
  <c r="H19" i="2" s="1"/>
  <c r="H20" i="2" s="1"/>
  <c r="L20" i="2" s="1"/>
  <c r="H23" i="2"/>
  <c r="H24" i="2" s="1"/>
  <c r="H25" i="2" s="1"/>
  <c r="L25" i="2" s="1"/>
  <c r="H28" i="2"/>
  <c r="H29" i="2" s="1"/>
  <c r="H30" i="2" s="1"/>
  <c r="H33" i="2"/>
  <c r="H34" i="2" s="1"/>
  <c r="H35" i="2" s="1"/>
  <c r="H38" i="2"/>
  <c r="H39" i="2" s="1"/>
  <c r="H40" i="2" s="1"/>
  <c r="L40" i="2" s="1"/>
  <c r="L35" i="2" l="1"/>
  <c r="A27" i="2"/>
  <c r="A32" i="2" s="1"/>
  <c r="A37" i="2" s="1"/>
  <c r="L30" i="2"/>
  <c r="L42" i="2" s="1"/>
  <c r="L43" i="2" l="1"/>
  <c r="L44" i="2"/>
  <c r="L45" i="2"/>
  <c r="L46" i="2"/>
  <c r="J48" i="2" s="1"/>
</calcChain>
</file>

<file path=xl/sharedStrings.xml><?xml version="1.0" encoding="utf-8"?>
<sst xmlns="http://schemas.openxmlformats.org/spreadsheetml/2006/main" count="80" uniqueCount="44">
  <si>
    <t>Sr No</t>
  </si>
  <si>
    <t>HSR
Item No</t>
  </si>
  <si>
    <t>Description</t>
  </si>
  <si>
    <t>Nos</t>
  </si>
  <si>
    <t>Length</t>
  </si>
  <si>
    <t>Breadth</t>
  </si>
  <si>
    <t>Depth</t>
  </si>
  <si>
    <t>Quantity</t>
  </si>
  <si>
    <t>Unit</t>
  </si>
  <si>
    <t>Rate Type</t>
  </si>
  <si>
    <t>Rate</t>
  </si>
  <si>
    <t>Amount</t>
  </si>
  <si>
    <t>4.14.1</t>
  </si>
  <si>
    <r>
      <t xml:space="preserve">4.14: Earth Work and Rock Cutting 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t>
    </r>
    <r>
      <rPr>
        <b/>
        <i/>
        <sz val="9"/>
        <color rgb="FF8B0000"/>
        <rFont val="Aptos Narrow"/>
        <family val="2"/>
        <scheme val="minor"/>
      </rPr>
      <t xml:space="preserve">4.14.1: All kinds of soil.
</t>
    </r>
  </si>
  <si>
    <t>cft</t>
  </si>
  <si>
    <t>Total (cft)</t>
  </si>
  <si>
    <t>Total (cum)</t>
  </si>
  <si>
    <t>cum</t>
  </si>
  <si>
    <t>Through Rate</t>
  </si>
  <si>
    <t>6.2.4</t>
  </si>
  <si>
    <r>
      <t xml:space="preserve">6.2: Concrete and RCC Work A CEMENT CONCRETE (CAST IN SITU) 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four level, excluding the cost of centering, shuttering and finishing:
</t>
    </r>
    <r>
      <rPr>
        <b/>
        <i/>
        <sz val="9"/>
        <color rgb="FF8B0000"/>
        <rFont val="Aptos Narrow"/>
        <family val="2"/>
        <scheme val="minor"/>
      </rPr>
      <t xml:space="preserve">6.2.4: 1:5:10 (1 cement : 5 coarse sand (zone-III) : 10 graded stone aggregate 40 mm nominal size).
</t>
    </r>
  </si>
  <si>
    <t>7.21.2</t>
  </si>
  <si>
    <r>
      <t xml:space="preserve">7.21: Brick work with common burnt clay non- modular bricks of class designation 10.5 in foundation and plinth in:
</t>
    </r>
    <r>
      <rPr>
        <b/>
        <i/>
        <sz val="9"/>
        <color rgb="FF8B0000"/>
        <rFont val="Aptos Narrow"/>
        <family val="2"/>
        <scheme val="minor"/>
      </rPr>
      <t xml:space="preserve">7.21.2: Cement mortar 1:6 (1 cement : 6 coarse sand)
</t>
    </r>
  </si>
  <si>
    <t>Through Rate Amnd</t>
  </si>
  <si>
    <t>10.8</t>
  </si>
  <si>
    <t xml:space="preserve">10.8: Flooring and Dados CEMENT CONCRETE FLOORING Providing and laying of conglomerate floor 40mm thick cement concrete topping 1:2:4
</t>
  </si>
  <si>
    <t>sft</t>
  </si>
  <si>
    <t>Total (sft)</t>
  </si>
  <si>
    <t>Total (sqm)</t>
  </si>
  <si>
    <t>sqm</t>
  </si>
  <si>
    <t>11.25.2</t>
  </si>
  <si>
    <r>
      <t xml:space="preserve">11.25: Finishing Works POINTING ON BRICK WORK Pointing on brick work or brick flooring with cement mortar 1:3 (1 cement : 3 fine sand):
</t>
    </r>
    <r>
      <rPr>
        <b/>
        <i/>
        <sz val="9"/>
        <color rgb="FF8B0000"/>
        <rFont val="Aptos Narrow"/>
        <family val="2"/>
        <scheme val="minor"/>
      </rPr>
      <t xml:space="preserve">11.25.2: Raised and cut pointing
</t>
    </r>
  </si>
  <si>
    <t>11.9.1</t>
  </si>
  <si>
    <r>
      <t xml:space="preserve">11.9: Finishing Works CEMENT PLASTER (IN COARSE SAND) 15 mm cement plaster on rough side of single or half brick wall of mix:
</t>
    </r>
    <r>
      <rPr>
        <b/>
        <i/>
        <sz val="9"/>
        <color rgb="FF8B0000"/>
        <rFont val="Aptos Narrow"/>
        <family val="2"/>
        <scheme val="minor"/>
      </rPr>
      <t xml:space="preserve">11.9.1: 1:4 (1 cement: 4 coarse sand)
</t>
    </r>
  </si>
  <si>
    <t>7.59</t>
  </si>
  <si>
    <t xml:space="preserve">7.59: Brick Work and Stone Masonry MISCELLANEOUS BRICKWORK ITEMS Extra for making tapered surface of brick masonry.
</t>
  </si>
  <si>
    <t>End</t>
  </si>
  <si>
    <t>Total</t>
  </si>
  <si>
    <t>Add 18% GST</t>
  </si>
  <si>
    <t>Total Amount</t>
  </si>
  <si>
    <t>Add 1% Contigency</t>
  </si>
  <si>
    <t>GRAND TOTAL</t>
  </si>
  <si>
    <t xml:space="preserve"> .</t>
  </si>
  <si>
    <t xml:space="preserve">Say Rs.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</si>
</sst>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quot;&quot;"/>
    <numFmt numFmtId="166" formatCode="_(* #,##0_);_(* \(#,##0\);_(* &quot;-&quot;??_);_(@_)"/>
  </numFmts>
  <fonts count="10" x14ac:knownFonts="1">
    <font>
      <sz val="11"/>
      <color theme="1"/>
      <name val="Aptos Narrow"/>
      <family val="2"/>
      <scheme val="minor"/>
    </font>
    <font>
      <b/>
      <sz val="11"/>
      <color theme="1"/>
      <name val="Aptos Narrow"/>
      <family val="2"/>
      <scheme val="minor"/>
    </font>
    <font>
      <b/>
      <sz val="12"/>
      <color theme="1"/>
      <name val="Times New Roman"/>
      <family val="1"/>
    </font>
    <font>
      <b/>
      <i/>
      <sz val="10"/>
      <color rgb="FF006400"/>
      <name val="Aptos Narrow"/>
      <family val="2"/>
      <scheme val="minor"/>
    </font>
    <font>
      <b/>
      <i/>
      <sz val="9"/>
      <color rgb="FF8B0000"/>
      <name val="Aptos Narrow"/>
      <family val="2"/>
      <scheme val="minor"/>
    </font>
    <font>
      <b/>
      <sz val="11"/>
      <color rgb="FF000000"/>
      <name val="Times New Roman"/>
      <family val="1"/>
    </font>
    <font>
      <b/>
      <sz val="11"/>
      <color rgb="FF000000"/>
      <name val="Aptos Narrow"/>
      <family val="2"/>
      <scheme val="minor"/>
    </font>
    <font>
      <b/>
      <sz val="11"/>
      <color theme="1"/>
      <name val="Times New Roman"/>
      <family val="1"/>
    </font>
    <font>
      <b/>
      <i/>
      <sz val="14"/>
      <color rgb="FF000000"/>
      <name val="Times New Roman"/>
      <family val="1"/>
    </font>
    <font>
      <sz val="11"/>
      <color theme="1"/>
      <name val="Times New Roman"/>
      <family val="1"/>
    </font>
  </fonts>
  <fills count="9">
    <fill>
      <patternFill patternType="none"/>
    </fill>
    <fill>
      <patternFill patternType="gray125"/>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FF99"/>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indexed="64"/>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ck">
        <color indexed="64"/>
      </right>
      <top style="thin">
        <color auto="1"/>
      </top>
      <bottom style="thin">
        <color indexed="64"/>
      </bottom>
      <diagonal/>
    </border>
    <border>
      <left style="thin">
        <color auto="1"/>
      </left>
      <right style="thick">
        <color indexed="64"/>
      </right>
      <top style="thin">
        <color auto="1"/>
      </top>
      <bottom style="thin">
        <color auto="1"/>
      </bottom>
      <diagonal/>
    </border>
    <border>
      <left style="thick">
        <color indexed="64"/>
      </left>
      <right/>
      <top style="thin">
        <color indexed="64"/>
      </top>
      <bottom style="thin">
        <color indexed="64"/>
      </bottom>
      <diagonal/>
    </border>
    <border>
      <left/>
      <right/>
      <top/>
      <bottom style="thick">
        <color auto="1"/>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ck">
        <color auto="1"/>
      </left>
      <right/>
      <top/>
      <bottom style="thick">
        <color auto="1"/>
      </bottom>
      <diagonal/>
    </border>
    <border>
      <left/>
      <right/>
      <top/>
      <bottom style="thick">
        <color auto="1"/>
      </bottom>
      <diagonal/>
    </border>
    <border>
      <left/>
      <right style="thick">
        <color indexed="64"/>
      </right>
      <top/>
      <bottom style="thick">
        <color auto="1"/>
      </bottom>
      <diagonal/>
    </border>
  </borders>
  <cellStyleXfs count="1">
    <xf numFmtId="0" fontId="0" fillId="0" borderId="0"/>
  </cellStyleXfs>
  <cellXfs count="78">
    <xf numFmtId="0" fontId="0" fillId="0" borderId="0" xfId="0"/>
    <xf numFmtId="0" fontId="0" fillId="2" borderId="7" xfId="0" applyFill="1" applyBorder="1" applyAlignment="1">
      <alignment horizontal="right" vertical="center"/>
    </xf>
    <xf numFmtId="0" fontId="0" fillId="3" borderId="7" xfId="0" applyFill="1" applyBorder="1" applyAlignment="1">
      <alignment horizontal="center" vertical="center" wrapText="1"/>
    </xf>
    <xf numFmtId="0" fontId="0" fillId="4" borderId="7" xfId="0" applyFill="1" applyBorder="1" applyAlignment="1">
      <alignment horizontal="right" vertical="center"/>
    </xf>
    <xf numFmtId="0" fontId="1" fillId="0" borderId="5" xfId="0" applyFont="1" applyBorder="1" applyAlignment="1">
      <alignment horizontal="center" vertical="center"/>
    </xf>
    <xf numFmtId="0" fontId="0" fillId="0" borderId="5" xfId="0" applyBorder="1" applyAlignment="1">
      <alignment vertical="center"/>
    </xf>
    <xf numFmtId="0" fontId="0" fillId="0" borderId="5" xfId="0" applyBorder="1" applyAlignment="1">
      <alignment horizontal="center" vertical="center"/>
    </xf>
    <xf numFmtId="0" fontId="1" fillId="0" borderId="5" xfId="0" applyFont="1" applyBorder="1" applyAlignment="1">
      <alignment horizontal="left" vertical="center"/>
    </xf>
    <xf numFmtId="0" fontId="0" fillId="3" borderId="5" xfId="0" applyFill="1" applyBorder="1" applyAlignment="1">
      <alignment horizontal="center" vertical="center" wrapText="1"/>
    </xf>
    <xf numFmtId="0" fontId="0" fillId="4" borderId="5" xfId="0" applyFill="1" applyBorder="1" applyAlignment="1">
      <alignment horizontal="right" vertical="center"/>
    </xf>
    <xf numFmtId="0" fontId="1" fillId="0" borderId="9" xfId="0" applyFont="1" applyBorder="1" applyAlignment="1">
      <alignment horizontal="center" vertical="center"/>
    </xf>
    <xf numFmtId="0" fontId="1" fillId="5" borderId="5" xfId="0" applyFont="1" applyFill="1" applyBorder="1" applyAlignment="1">
      <alignment horizontal="center" vertical="center"/>
    </xf>
    <xf numFmtId="0" fontId="1" fillId="5" borderId="5" xfId="0" applyFont="1" applyFill="1" applyBorder="1" applyAlignment="1">
      <alignment vertical="center"/>
    </xf>
    <xf numFmtId="0" fontId="1" fillId="5" borderId="5" xfId="0" applyFont="1" applyFill="1" applyBorder="1" applyAlignment="1">
      <alignment horizontal="left" vertical="center"/>
    </xf>
    <xf numFmtId="0" fontId="1" fillId="3" borderId="5" xfId="0" applyFont="1" applyFill="1" applyBorder="1" applyAlignment="1">
      <alignment horizontal="center" vertical="center" wrapText="1"/>
    </xf>
    <xf numFmtId="0" fontId="1" fillId="5" borderId="9" xfId="0" applyFont="1" applyFill="1" applyBorder="1" applyAlignment="1">
      <alignment horizontal="center" vertical="center"/>
    </xf>
    <xf numFmtId="0" fontId="1" fillId="6" borderId="5" xfId="0" applyFont="1" applyFill="1" applyBorder="1" applyAlignment="1">
      <alignment horizontal="center" vertical="center"/>
    </xf>
    <xf numFmtId="0" fontId="1" fillId="6" borderId="5" xfId="0" applyFont="1" applyFill="1" applyBorder="1" applyAlignment="1">
      <alignment vertical="center"/>
    </xf>
    <xf numFmtId="0" fontId="1" fillId="6" borderId="5" xfId="0" applyFont="1" applyFill="1" applyBorder="1" applyAlignment="1">
      <alignment horizontal="left" vertical="center" wrapText="1"/>
    </xf>
    <xf numFmtId="0" fontId="1" fillId="7" borderId="7" xfId="0" applyFont="1" applyFill="1" applyBorder="1" applyAlignment="1">
      <alignment horizontal="center" vertical="center"/>
    </xf>
    <xf numFmtId="0" fontId="0" fillId="7" borderId="7" xfId="0" applyFill="1" applyBorder="1" applyAlignment="1">
      <alignment vertical="center"/>
    </xf>
    <xf numFmtId="0" fontId="0" fillId="7" borderId="7" xfId="0" applyFill="1" applyBorder="1" applyAlignment="1">
      <alignment horizontal="center" vertical="center"/>
    </xf>
    <xf numFmtId="0" fontId="1" fillId="7" borderId="7" xfId="0" applyFont="1" applyFill="1" applyBorder="1" applyAlignment="1">
      <alignment horizontal="left" vertical="center"/>
    </xf>
    <xf numFmtId="0" fontId="1" fillId="7" borderId="8" xfId="0" applyFont="1" applyFill="1" applyBorder="1" applyAlignment="1">
      <alignment horizontal="center" vertical="center"/>
    </xf>
    <xf numFmtId="0" fontId="1" fillId="6" borderId="4"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5" fillId="8" borderId="12" xfId="0" applyFont="1" applyFill="1" applyBorder="1" applyAlignment="1">
      <alignment horizontal="centerContinuous" vertical="center"/>
    </xf>
    <xf numFmtId="0" fontId="6" fillId="8" borderId="13" xfId="0" applyFont="1" applyFill="1" applyBorder="1" applyAlignment="1">
      <alignment horizontal="centerContinuous"/>
    </xf>
    <xf numFmtId="166" fontId="6" fillId="8" borderId="14" xfId="0" applyNumberFormat="1" applyFont="1" applyFill="1" applyBorder="1" applyAlignment="1">
      <alignment horizontal="center" vertical="center"/>
    </xf>
    <xf numFmtId="0" fontId="5" fillId="8" borderId="10" xfId="0" applyFont="1" applyFill="1" applyBorder="1" applyAlignment="1">
      <alignment horizontal="centerContinuous" vertical="center"/>
    </xf>
    <xf numFmtId="0" fontId="6" fillId="8" borderId="7" xfId="0" applyFont="1" applyFill="1" applyBorder="1" applyAlignment="1">
      <alignment horizontal="centerContinuous"/>
    </xf>
    <xf numFmtId="166" fontId="6" fillId="8" borderId="8" xfId="0" applyNumberFormat="1" applyFont="1" applyFill="1" applyBorder="1" applyAlignment="1">
      <alignment horizontal="center" vertical="center"/>
    </xf>
    <xf numFmtId="0" fontId="5" fillId="8" borderId="15" xfId="0" applyFont="1" applyFill="1" applyBorder="1" applyAlignment="1">
      <alignment horizontal="centerContinuous" vertical="center"/>
    </xf>
    <xf numFmtId="0" fontId="6" fillId="8" borderId="16" xfId="0" applyFont="1" applyFill="1" applyBorder="1" applyAlignment="1">
      <alignment horizontal="centerContinuous"/>
    </xf>
    <xf numFmtId="166" fontId="6" fillId="8" borderId="17" xfId="0" applyNumberFormat="1" applyFont="1" applyFill="1" applyBorder="1" applyAlignment="1">
      <alignment horizontal="center" vertical="center"/>
    </xf>
    <xf numFmtId="0" fontId="7" fillId="0" borderId="0" xfId="0" applyFont="1" applyAlignment="1">
      <alignment horizontal="centerContinuous" vertical="center"/>
    </xf>
    <xf numFmtId="0" fontId="1" fillId="0" borderId="0" xfId="0" applyFont="1" applyAlignment="1">
      <alignment horizontal="centerContinuous"/>
    </xf>
    <xf numFmtId="0" fontId="1" fillId="0" borderId="0" xfId="0" applyFont="1" applyAlignment="1">
      <alignment vertical="center"/>
    </xf>
    <xf numFmtId="164" fontId="1" fillId="2" borderId="5" xfId="0" applyNumberFormat="1" applyFont="1" applyFill="1" applyBorder="1" applyAlignment="1" applyProtection="1">
      <alignment horizontal="right" vertical="center"/>
    </xf>
    <xf numFmtId="164" fontId="0" fillId="2" borderId="5" xfId="0" applyNumberFormat="1" applyFill="1" applyBorder="1" applyAlignment="1" applyProtection="1">
      <alignment horizontal="right" vertical="center"/>
    </xf>
    <xf numFmtId="0" fontId="1" fillId="5" borderId="5" xfId="0" applyFont="1" applyFill="1" applyBorder="1" applyAlignment="1" applyProtection="1">
      <alignment horizontal="center" vertical="center"/>
    </xf>
    <xf numFmtId="0" fontId="1" fillId="6" borderId="5" xfId="0" applyFont="1" applyFill="1" applyBorder="1" applyAlignment="1" applyProtection="1">
      <alignment horizontal="center" vertical="center"/>
    </xf>
    <xf numFmtId="49" fontId="2" fillId="0" borderId="5" xfId="0" applyNumberFormat="1" applyFont="1" applyFill="1" applyBorder="1" applyAlignment="1">
      <alignment horizontal="center" vertical="center"/>
    </xf>
    <xf numFmtId="0" fontId="0" fillId="0" borderId="6" xfId="0" applyFill="1" applyBorder="1" applyAlignment="1">
      <alignment horizontal="center" vertical="center"/>
    </xf>
    <xf numFmtId="0" fontId="0" fillId="0" borderId="7" xfId="0" applyFill="1" applyBorder="1" applyAlignment="1">
      <alignment vertical="center"/>
    </xf>
    <xf numFmtId="0" fontId="1" fillId="0" borderId="7" xfId="0" applyFont="1" applyFill="1" applyBorder="1" applyAlignment="1">
      <alignment horizontal="left" vertical="center"/>
    </xf>
    <xf numFmtId="0" fontId="1" fillId="0" borderId="8" xfId="0" applyFont="1" applyFill="1" applyBorder="1" applyAlignment="1">
      <alignment horizontal="center" vertical="center"/>
    </xf>
    <xf numFmtId="0" fontId="0" fillId="0" borderId="0" xfId="0" applyFill="1"/>
    <xf numFmtId="0" fontId="1" fillId="0" borderId="2" xfId="0"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0" fontId="1" fillId="0" borderId="3" xfId="0" applyFont="1" applyFill="1" applyBorder="1" applyAlignment="1">
      <alignment horizontal="center" vertical="center" wrapText="1"/>
    </xf>
    <xf numFmtId="0" fontId="3" fillId="0" borderId="5" xfId="0" applyFont="1" applyFill="1" applyBorder="1" applyAlignment="1">
      <alignment vertical="center" wrapText="1"/>
    </xf>
    <xf numFmtId="0" fontId="1" fillId="0" borderId="1" xfId="0" applyFont="1" applyFill="1" applyBorder="1" applyAlignment="1">
      <alignment horizontal="center" vertical="center" wrapText="1"/>
    </xf>
    <xf numFmtId="0" fontId="0" fillId="0" borderId="0" xfId="0" applyFont="1"/>
    <xf numFmtId="0" fontId="8" fillId="0" borderId="0" xfId="0" applyNumberFormat="1" applyFont="1" applyAlignment="1">
      <alignment horizontal="right" vertical="center" wrapText="1"/>
    </xf>
    <xf numFmtId="0" fontId="8" fillId="0" borderId="0" xfId="0" applyNumberFormat="1" applyFont="1" applyAlignment="1">
      <alignment horizontal="centerContinuous" vertical="center" wrapText="1"/>
    </xf>
    <xf numFmtId="0" fontId="9" fillId="0" borderId="0" xfId="0" applyNumberFormat="1" applyFont="1" applyAlignment="1">
      <alignment horizontal="centerContinuous"/>
    </xf>
    <xf numFmtId="166" fontId="1" fillId="6" borderId="9" xfId="0" applyNumberFormat="1" applyFont="1" applyFill="1" applyBorder="1" applyAlignment="1" applyProtection="1">
      <alignment horizontal="center" vertical="center"/>
    </xf>
    <xf numFmtId="165" fontId="1" fillId="4" borderId="5" xfId="0" applyNumberFormat="1" applyFont="1" applyFill="1" applyBorder="1" applyAlignment="1" applyProtection="1">
      <alignment horizontal="right" vertical="center"/>
    </xf>
    <xf numFmtId="0" fontId="1" fillId="4" borderId="5" xfId="0" applyFont="1" applyFill="1" applyBorder="1" applyAlignment="1" applyProtection="1">
      <alignment horizontal="right" vertical="center"/>
    </xf>
    <xf numFmtId="1" fontId="2" fillId="0" borderId="4" xfId="0" applyNumberFormat="1" applyFont="1" applyBorder="1" applyAlignment="1" applyProtection="1">
      <alignment horizontal="center" vertical="center"/>
    </xf>
    <xf numFmtId="1" fontId="2" fillId="5" borderId="4" xfId="0" applyNumberFormat="1" applyFont="1" applyFill="1" applyBorder="1" applyAlignment="1" applyProtection="1">
      <alignment horizontal="center" vertical="center"/>
    </xf>
    <xf numFmtId="1" fontId="2" fillId="6" borderId="4" xfId="0" applyNumberFormat="1" applyFont="1" applyFill="1" applyBorder="1" applyAlignment="1" applyProtection="1">
      <alignment horizontal="center" vertical="center"/>
    </xf>
    <xf numFmtId="1" fontId="2" fillId="7" borderId="10" xfId="0" applyNumberFormat="1" applyFont="1" applyFill="1" applyBorder="1" applyAlignment="1" applyProtection="1">
      <alignment horizontal="center" vertical="center"/>
    </xf>
    <xf numFmtId="1" fontId="2" fillId="0" borderId="4" xfId="0" applyNumberFormat="1" applyFont="1" applyFill="1" applyBorder="1" applyAlignment="1" applyProtection="1">
      <alignment horizontal="center" vertical="center"/>
    </xf>
    <xf numFmtId="0" fontId="0" fillId="7" borderId="18" xfId="0" applyFill="1" applyBorder="1" applyAlignment="1">
      <alignment horizontal="center" vertical="center"/>
    </xf>
    <xf numFmtId="0" fontId="1" fillId="7" borderId="19" xfId="0" applyFont="1" applyFill="1" applyBorder="1" applyAlignment="1">
      <alignment horizontal="center" vertical="center"/>
    </xf>
    <xf numFmtId="0" fontId="0" fillId="7" borderId="19" xfId="0" applyFill="1" applyBorder="1" applyAlignment="1">
      <alignment vertical="center"/>
    </xf>
    <xf numFmtId="0" fontId="0" fillId="7" borderId="19" xfId="0" applyFill="1" applyBorder="1" applyAlignment="1">
      <alignment horizontal="center" vertical="center"/>
    </xf>
    <xf numFmtId="0" fontId="0" fillId="7" borderId="19" xfId="0" applyFont="1" applyFill="1" applyBorder="1" applyAlignment="1">
      <alignment horizontal="center" vertical="center"/>
    </xf>
    <xf numFmtId="0" fontId="0" fillId="7" borderId="19" xfId="0" applyFont="1" applyFill="1" applyBorder="1" applyAlignment="1">
      <alignment vertical="center"/>
    </xf>
    <xf numFmtId="0" fontId="1" fillId="7" borderId="20" xfId="0" applyFont="1" applyFill="1" applyBorder="1" applyAlignment="1">
      <alignment horizontal="center" vertical="center"/>
    </xf>
    <xf numFmtId="0" fontId="0" fillId="0" borderId="11" xfId="0" applyBorder="1" applyAlignment="1">
      <alignment horizontal="center" vertical="center"/>
    </xf>
    <xf numFmtId="0" fontId="1" fillId="0" borderId="11" xfId="0" applyFont="1" applyBorder="1" applyAlignment="1">
      <alignment horizontal="center" vertical="center"/>
    </xf>
    <xf numFmtId="0" fontId="0" fillId="0" borderId="11" xfId="0" applyBorder="1" applyAlignment="1">
      <alignment vertical="center"/>
    </xf>
    <xf numFmtId="0" fontId="1" fillId="0" borderId="11" xfId="0" applyFont="1" applyBorder="1" applyAlignment="1">
      <alignment vertical="center"/>
    </xf>
  </cellXfs>
  <cellStyles count="1">
    <cellStyle name="Normal" xfId="0" builtinId="0"/>
  </cellStyles>
  <dxfs count="14">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420D4-2DBA-49AE-8B92-F0F2758575E8}">
  <dimension ref="A1:N72"/>
  <sheetViews>
    <sheetView showGridLines="0" tabSelected="1" workbookViewId="0">
      <pane ySplit="2" topLeftCell="A3" activePane="bottomLeft" state="frozen"/>
      <selection pane="bottomLeft" activeCell="A3" sqref="A3"/>
    </sheetView>
  </sheetViews>
  <sheetFormatPr defaultColWidth="0" defaultRowHeight="0" customHeight="1" zeroHeight="1" x14ac:dyDescent="0.3"/>
  <cols>
    <col min="1" max="1" width="10.77734375" style="26" customWidth="1"/>
    <col min="2" max="2" width="10.77734375" style="27" customWidth="1"/>
    <col min="3" max="3" width="69.77734375" style="25" customWidth="1"/>
    <col min="4" max="4" width="10.77734375" style="26" customWidth="1"/>
    <col min="5" max="7" width="10.77734375" style="25" customWidth="1"/>
    <col min="8" max="8" width="10.77734375" style="26" customWidth="1"/>
    <col min="9" max="9" width="10.77734375" style="39" customWidth="1"/>
    <col min="10" max="11" width="10.77734375" style="25" customWidth="1"/>
    <col min="12" max="12" width="9.44140625" style="25" bestFit="1" customWidth="1"/>
    <col min="13" max="13" width="9.109375" customWidth="1"/>
    <col min="14" max="14" width="5.77734375" customWidth="1"/>
    <col min="15" max="16384" width="9.109375" hidden="1"/>
  </cols>
  <sheetData>
    <row r="1" spans="1:12" ht="15" thickBot="1" x14ac:dyDescent="0.35">
      <c r="A1" s="74"/>
      <c r="B1" s="75"/>
      <c r="C1" s="76"/>
      <c r="D1" s="74"/>
      <c r="E1" s="76"/>
      <c r="F1" s="76"/>
      <c r="G1" s="76"/>
      <c r="H1" s="74"/>
      <c r="I1" s="77"/>
      <c r="J1" s="76"/>
      <c r="K1" s="76"/>
      <c r="L1" s="76"/>
    </row>
    <row r="2" spans="1:12" s="49" customFormat="1" ht="31.8" thickTop="1" x14ac:dyDescent="0.3">
      <c r="A2" s="54" t="s">
        <v>0</v>
      </c>
      <c r="B2" s="51" t="s">
        <v>1</v>
      </c>
      <c r="C2" s="50" t="s">
        <v>2</v>
      </c>
      <c r="D2" s="50" t="s">
        <v>3</v>
      </c>
      <c r="E2" s="50" t="s">
        <v>4</v>
      </c>
      <c r="F2" s="50" t="s">
        <v>5</v>
      </c>
      <c r="G2" s="50" t="s">
        <v>6</v>
      </c>
      <c r="H2" s="50" t="s">
        <v>7</v>
      </c>
      <c r="I2" s="50" t="s">
        <v>8</v>
      </c>
      <c r="J2" s="50" t="s">
        <v>9</v>
      </c>
      <c r="K2" s="50" t="s">
        <v>10</v>
      </c>
      <c r="L2" s="52" t="s">
        <v>11</v>
      </c>
    </row>
    <row r="3" spans="1:12" s="49" customFormat="1" ht="93" x14ac:dyDescent="0.3">
      <c r="A3" s="66">
        <f>IFERROR(LOOKUP(2,1/(ISNUMBER($A$2:$A$2)),$A$2:$A$2),0)+1</f>
        <v>1</v>
      </c>
      <c r="B3" s="44" t="s">
        <v>12</v>
      </c>
      <c r="C3" s="53" t="s">
        <v>13</v>
      </c>
      <c r="D3" s="45"/>
      <c r="E3" s="46"/>
      <c r="F3" s="46"/>
      <c r="G3" s="46"/>
      <c r="H3" s="1"/>
      <c r="I3" s="47"/>
      <c r="J3" s="2"/>
      <c r="K3" s="3"/>
      <c r="L3" s="48"/>
    </row>
    <row r="4" spans="1:12" ht="15.6" x14ac:dyDescent="0.3">
      <c r="A4" s="62"/>
      <c r="B4" s="4"/>
      <c r="C4" s="5"/>
      <c r="D4" s="6">
        <v>1</v>
      </c>
      <c r="E4" s="5">
        <v>100</v>
      </c>
      <c r="F4" s="5">
        <v>6.5</v>
      </c>
      <c r="G4" s="5">
        <v>3</v>
      </c>
      <c r="H4" s="41">
        <f>D4*IF(OR(E4=0,E4="-"),1,E4)*IF(OR(F4=0,F4="-"),1,F4)*IF(OR(G4=0,G4="-"),1,G4)</f>
        <v>1950</v>
      </c>
      <c r="I4" s="7" t="s">
        <v>14</v>
      </c>
      <c r="J4" s="8"/>
      <c r="K4" s="9"/>
      <c r="L4" s="10"/>
    </row>
    <row r="5" spans="1:12" ht="15.6" x14ac:dyDescent="0.3">
      <c r="A5" s="63"/>
      <c r="B5" s="11"/>
      <c r="C5" s="12"/>
      <c r="D5" s="11"/>
      <c r="E5" s="12"/>
      <c r="F5" s="42" t="s">
        <v>15</v>
      </c>
      <c r="G5" s="42"/>
      <c r="H5" s="40">
        <f>SUM(H4:INDEX(H:H,ROW()-1))</f>
        <v>1950</v>
      </c>
      <c r="I5" s="13" t="s">
        <v>14</v>
      </c>
      <c r="J5" s="14"/>
      <c r="K5" s="60">
        <f>0</f>
        <v>0</v>
      </c>
      <c r="L5" s="15"/>
    </row>
    <row r="6" spans="1:12" ht="28.8" x14ac:dyDescent="0.3">
      <c r="A6" s="64"/>
      <c r="B6" s="16"/>
      <c r="C6" s="17"/>
      <c r="D6" s="16"/>
      <c r="E6" s="43" t="s">
        <v>16</v>
      </c>
      <c r="F6" s="43"/>
      <c r="G6" s="43"/>
      <c r="H6" s="40">
        <f>ROUND(H5*0.0283,3)</f>
        <v>55.185000000000002</v>
      </c>
      <c r="I6" s="18" t="s">
        <v>17</v>
      </c>
      <c r="J6" s="14" t="s">
        <v>18</v>
      </c>
      <c r="K6" s="61">
        <f>IF(B3="4.14.1",IF(J6="Labour Rate",20,IF(J6="Machinery Rate",63,IF(J6="Through Rate",83,0))),"")</f>
        <v>83</v>
      </c>
      <c r="L6" s="59">
        <f>IF(H6*K6&lt;&gt;0,H6*K6,0)</f>
        <v>4580.3550000000005</v>
      </c>
    </row>
    <row r="7" spans="1:12" ht="13.95" customHeight="1" x14ac:dyDescent="0.3">
      <c r="A7" s="65"/>
      <c r="B7" s="19"/>
      <c r="C7" s="20"/>
      <c r="D7" s="21"/>
      <c r="E7" s="20"/>
      <c r="F7" s="20"/>
      <c r="G7" s="20"/>
      <c r="H7" s="1"/>
      <c r="I7" s="22"/>
      <c r="J7" s="2"/>
      <c r="K7" s="3"/>
      <c r="L7" s="23"/>
    </row>
    <row r="8" spans="1:12" s="49" customFormat="1" ht="106.8" x14ac:dyDescent="0.3">
      <c r="A8" s="66">
        <f>IFERROR(LOOKUP(2,1/(ISNUMBER($A$2:$A$7)),$A$2:$A$7),0)+1</f>
        <v>2</v>
      </c>
      <c r="B8" s="44" t="s">
        <v>19</v>
      </c>
      <c r="C8" s="53" t="s">
        <v>20</v>
      </c>
      <c r="D8" s="45"/>
      <c r="E8" s="46"/>
      <c r="F8" s="46"/>
      <c r="G8" s="46"/>
      <c r="H8" s="1"/>
      <c r="I8" s="47"/>
      <c r="J8" s="2"/>
      <c r="K8" s="3"/>
      <c r="L8" s="48"/>
    </row>
    <row r="9" spans="1:12" ht="15.6" x14ac:dyDescent="0.3">
      <c r="A9" s="62"/>
      <c r="B9" s="4"/>
      <c r="C9" s="5"/>
      <c r="D9" s="6">
        <v>1</v>
      </c>
      <c r="E9" s="5">
        <v>100</v>
      </c>
      <c r="F9" s="5">
        <v>6.5</v>
      </c>
      <c r="G9" s="5">
        <v>0.75</v>
      </c>
      <c r="H9" s="41">
        <f>D9*IF(OR(E9=0,E9="-"),1,E9)*IF(OR(F9=0,F9="-"),1,F9)*IF(OR(G9=0,G9="-"),1,G9)</f>
        <v>487.5</v>
      </c>
      <c r="I9" s="7" t="s">
        <v>14</v>
      </c>
      <c r="J9" s="8"/>
      <c r="K9" s="9"/>
      <c r="L9" s="10"/>
    </row>
    <row r="10" spans="1:12" ht="15.6" x14ac:dyDescent="0.3">
      <c r="A10" s="63"/>
      <c r="B10" s="11"/>
      <c r="C10" s="12"/>
      <c r="D10" s="11"/>
      <c r="E10" s="12"/>
      <c r="F10" s="42" t="s">
        <v>15</v>
      </c>
      <c r="G10" s="42"/>
      <c r="H10" s="40">
        <f>SUM(H9:INDEX(H:H,ROW()-1))</f>
        <v>487.5</v>
      </c>
      <c r="I10" s="13" t="s">
        <v>14</v>
      </c>
      <c r="J10" s="14"/>
      <c r="K10" s="60">
        <f>0</f>
        <v>0</v>
      </c>
      <c r="L10" s="15"/>
    </row>
    <row r="11" spans="1:12" ht="28.8" x14ac:dyDescent="0.3">
      <c r="A11" s="64"/>
      <c r="B11" s="16"/>
      <c r="C11" s="17"/>
      <c r="D11" s="16"/>
      <c r="E11" s="43" t="s">
        <v>16</v>
      </c>
      <c r="F11" s="43"/>
      <c r="G11" s="43"/>
      <c r="H11" s="40">
        <f>ROUND(H10*0.0283,3)</f>
        <v>13.795999999999999</v>
      </c>
      <c r="I11" s="18" t="s">
        <v>17</v>
      </c>
      <c r="J11" s="14" t="s">
        <v>18</v>
      </c>
      <c r="K11" s="61">
        <f>IF(B8="6.2.4",IF(J11="Labour Rate",480,IF(J11="Material Rate",1718,IF(J11="Through Rate",2199,0))),"")</f>
        <v>2199</v>
      </c>
      <c r="L11" s="59">
        <f>IF(H11*K11&lt;&gt;0,H11*K11,0)</f>
        <v>30337.403999999999</v>
      </c>
    </row>
    <row r="12" spans="1:12" ht="13.95" customHeight="1" x14ac:dyDescent="0.3">
      <c r="A12" s="65"/>
      <c r="B12" s="19"/>
      <c r="C12" s="20"/>
      <c r="D12" s="21"/>
      <c r="E12" s="20"/>
      <c r="F12" s="20"/>
      <c r="G12" s="20"/>
      <c r="H12" s="1"/>
      <c r="I12" s="22"/>
      <c r="J12" s="2"/>
      <c r="K12" s="3"/>
      <c r="L12" s="23"/>
    </row>
    <row r="13" spans="1:12" s="49" customFormat="1" ht="51.6" x14ac:dyDescent="0.3">
      <c r="A13" s="66">
        <f>IFERROR(LOOKUP(2,1/(ISNUMBER($A$2:$A$12)),$A$2:$A$12),0)+1</f>
        <v>3</v>
      </c>
      <c r="B13" s="44" t="s">
        <v>21</v>
      </c>
      <c r="C13" s="53" t="s">
        <v>22</v>
      </c>
      <c r="D13" s="45"/>
      <c r="E13" s="46"/>
      <c r="F13" s="46"/>
      <c r="G13" s="46"/>
      <c r="H13" s="1"/>
      <c r="I13" s="47"/>
      <c r="J13" s="2"/>
      <c r="K13" s="3"/>
      <c r="L13" s="48"/>
    </row>
    <row r="14" spans="1:12" ht="15.6" x14ac:dyDescent="0.3">
      <c r="A14" s="62"/>
      <c r="B14" s="4"/>
      <c r="C14" s="5"/>
      <c r="D14" s="6">
        <v>1</v>
      </c>
      <c r="E14" s="5">
        <v>100</v>
      </c>
      <c r="F14" s="5">
        <v>5.75</v>
      </c>
      <c r="G14" s="5">
        <v>0.5</v>
      </c>
      <c r="H14" s="41">
        <f>D14*IF(OR(E14=0,E14="-"),1,E14)*IF(OR(F14=0,F14="-"),1,F14)*IF(OR(G14=0,G14="-"),1,G14)</f>
        <v>287.5</v>
      </c>
      <c r="I14" s="7" t="s">
        <v>14</v>
      </c>
      <c r="J14" s="8"/>
      <c r="K14" s="9"/>
      <c r="L14" s="10"/>
    </row>
    <row r="15" spans="1:12" ht="15.6" x14ac:dyDescent="0.3">
      <c r="A15" s="62"/>
      <c r="B15" s="4"/>
      <c r="C15" s="5"/>
      <c r="D15" s="6">
        <v>1</v>
      </c>
      <c r="E15" s="5">
        <v>100</v>
      </c>
      <c r="F15" s="5">
        <v>5</v>
      </c>
      <c r="G15" s="5">
        <v>0.5</v>
      </c>
      <c r="H15" s="41">
        <f>D15*IF(OR(E15=0,E15="-"),1,E15)*IF(OR(F15=0,F15="-"),1,F15)*IF(OR(G15=0,G15="-"),1,G15)</f>
        <v>250</v>
      </c>
      <c r="I15" s="7" t="s">
        <v>14</v>
      </c>
      <c r="J15" s="8"/>
      <c r="K15" s="9"/>
      <c r="L15" s="10"/>
    </row>
    <row r="16" spans="1:12" ht="15.6" x14ac:dyDescent="0.3">
      <c r="A16" s="62"/>
      <c r="B16" s="4"/>
      <c r="C16" s="5"/>
      <c r="D16" s="6">
        <v>1</v>
      </c>
      <c r="E16" s="5">
        <v>100</v>
      </c>
      <c r="F16" s="5">
        <v>4.25</v>
      </c>
      <c r="G16" s="5">
        <v>0.5</v>
      </c>
      <c r="H16" s="41">
        <f>D16*IF(OR(E16=0,E16="-"),1,E16)*IF(OR(F16=0,F16="-"),1,F16)*IF(OR(G16=0,G16="-"),1,G16)</f>
        <v>212.5</v>
      </c>
      <c r="I16" s="7" t="s">
        <v>14</v>
      </c>
      <c r="J16" s="8"/>
      <c r="K16" s="9"/>
      <c r="L16" s="10"/>
    </row>
    <row r="17" spans="1:12" ht="15.6" x14ac:dyDescent="0.3">
      <c r="A17" s="62"/>
      <c r="B17" s="4"/>
      <c r="C17" s="5"/>
      <c r="D17" s="6">
        <v>1</v>
      </c>
      <c r="E17" s="5">
        <v>100</v>
      </c>
      <c r="F17" s="5">
        <v>2.625</v>
      </c>
      <c r="G17" s="5">
        <v>10.5</v>
      </c>
      <c r="H17" s="41">
        <f>D17*IF(OR(E17=0,E17="-"),1,E17)*IF(OR(F17=0,F17="-"),1,F17)*IF(OR(G17=0,G17="-"),1,G17)</f>
        <v>2756.25</v>
      </c>
      <c r="I17" s="7" t="s">
        <v>14</v>
      </c>
      <c r="J17" s="8"/>
      <c r="K17" s="9"/>
      <c r="L17" s="10"/>
    </row>
    <row r="18" spans="1:12" ht="15.6" x14ac:dyDescent="0.3">
      <c r="A18" s="62"/>
      <c r="B18" s="4"/>
      <c r="C18" s="5"/>
      <c r="D18" s="6">
        <v>1</v>
      </c>
      <c r="E18" s="5">
        <v>100</v>
      </c>
      <c r="F18" s="5">
        <v>1.125</v>
      </c>
      <c r="G18" s="5">
        <v>1.5</v>
      </c>
      <c r="H18" s="41">
        <f>D18*IF(OR(E18=0,E18="-"),1,E18)*IF(OR(F18=0,F18="-"),1,F18)*IF(OR(G18=0,G18="-"),1,G18)</f>
        <v>168.75</v>
      </c>
      <c r="I18" s="7" t="s">
        <v>14</v>
      </c>
      <c r="J18" s="8"/>
      <c r="K18" s="9"/>
      <c r="L18" s="10"/>
    </row>
    <row r="19" spans="1:12" ht="15.6" x14ac:dyDescent="0.3">
      <c r="A19" s="63"/>
      <c r="B19" s="11"/>
      <c r="C19" s="12"/>
      <c r="D19" s="11"/>
      <c r="E19" s="12"/>
      <c r="F19" s="42" t="s">
        <v>15</v>
      </c>
      <c r="G19" s="42"/>
      <c r="H19" s="40">
        <f>SUM(H14:INDEX(H:H,ROW()-1))</f>
        <v>3675</v>
      </c>
      <c r="I19" s="13" t="s">
        <v>14</v>
      </c>
      <c r="J19" s="14"/>
      <c r="K19" s="60">
        <f>0</f>
        <v>0</v>
      </c>
      <c r="L19" s="15"/>
    </row>
    <row r="20" spans="1:12" ht="28.8" x14ac:dyDescent="0.3">
      <c r="A20" s="64"/>
      <c r="B20" s="16"/>
      <c r="C20" s="17"/>
      <c r="D20" s="16"/>
      <c r="E20" s="43" t="s">
        <v>16</v>
      </c>
      <c r="F20" s="43"/>
      <c r="G20" s="43"/>
      <c r="H20" s="40">
        <f>ROUND(H19*0.0283,3)</f>
        <v>104.003</v>
      </c>
      <c r="I20" s="18" t="s">
        <v>17</v>
      </c>
      <c r="J20" s="14" t="s">
        <v>23</v>
      </c>
      <c r="K20" s="61">
        <f>IF(B13="7.21.2",IF(J20="Labour Rate Amnd",823,IF(J20="Material Rate Amnd",3144,IF(J20="Through Rate Amnd",3968,IF(J20="Labour Rate",387,IF(J20="Material Rate",3144,IF(J20="Through Rate",3531,0)))))),"")</f>
        <v>3968</v>
      </c>
      <c r="L20" s="59">
        <f>IF(H20*K20&lt;&gt;0,H20*K20,0)</f>
        <v>412683.90399999998</v>
      </c>
    </row>
    <row r="21" spans="1:12" ht="13.95" customHeight="1" x14ac:dyDescent="0.3">
      <c r="A21" s="65"/>
      <c r="B21" s="19"/>
      <c r="C21" s="20"/>
      <c r="D21" s="21"/>
      <c r="E21" s="20"/>
      <c r="F21" s="20"/>
      <c r="G21" s="20"/>
      <c r="H21" s="1"/>
      <c r="I21" s="22"/>
      <c r="J21" s="2"/>
      <c r="K21" s="3"/>
      <c r="L21" s="23"/>
    </row>
    <row r="22" spans="1:12" s="49" customFormat="1" ht="41.4" x14ac:dyDescent="0.3">
      <c r="A22" s="66">
        <f>IFERROR(LOOKUP(2,1/(ISNUMBER($A$2:$A$21)),$A$2:$A$21),0)+1</f>
        <v>4</v>
      </c>
      <c r="B22" s="44" t="s">
        <v>24</v>
      </c>
      <c r="C22" s="53" t="s">
        <v>25</v>
      </c>
      <c r="D22" s="45"/>
      <c r="E22" s="46"/>
      <c r="F22" s="46"/>
      <c r="G22" s="46"/>
      <c r="H22" s="1"/>
      <c r="I22" s="47"/>
      <c r="J22" s="2"/>
      <c r="K22" s="3"/>
      <c r="L22" s="48"/>
    </row>
    <row r="23" spans="1:12" ht="15.6" x14ac:dyDescent="0.3">
      <c r="A23" s="62"/>
      <c r="B23" s="4"/>
      <c r="C23" s="5"/>
      <c r="D23" s="6">
        <v>1</v>
      </c>
      <c r="E23" s="5">
        <v>100</v>
      </c>
      <c r="F23" s="5">
        <v>1.125</v>
      </c>
      <c r="G23" s="5"/>
      <c r="H23" s="41">
        <f>D23*IF(OR(E23=0,E23="-"),1,E23)*IF(OR(F23=0,F23="-"),1,F23)*IF(OR(G23=0,G23="-"),1,G23)</f>
        <v>112.5</v>
      </c>
      <c r="I23" s="7" t="s">
        <v>26</v>
      </c>
      <c r="J23" s="8"/>
      <c r="K23" s="9"/>
      <c r="L23" s="10"/>
    </row>
    <row r="24" spans="1:12" ht="15.6" x14ac:dyDescent="0.3">
      <c r="A24" s="63"/>
      <c r="B24" s="11"/>
      <c r="C24" s="12"/>
      <c r="D24" s="11"/>
      <c r="E24" s="12"/>
      <c r="F24" s="42" t="s">
        <v>27</v>
      </c>
      <c r="G24" s="42"/>
      <c r="H24" s="40">
        <f>SUM(H23:INDEX(H:H,ROW()-1))</f>
        <v>112.5</v>
      </c>
      <c r="I24" s="13" t="s">
        <v>26</v>
      </c>
      <c r="J24" s="14"/>
      <c r="K24" s="60">
        <f>0</f>
        <v>0</v>
      </c>
      <c r="L24" s="15"/>
    </row>
    <row r="25" spans="1:12" ht="28.8" x14ac:dyDescent="0.3">
      <c r="A25" s="64"/>
      <c r="B25" s="16"/>
      <c r="C25" s="17"/>
      <c r="D25" s="16"/>
      <c r="E25" s="43" t="s">
        <v>28</v>
      </c>
      <c r="F25" s="43"/>
      <c r="G25" s="43"/>
      <c r="H25" s="40">
        <f>ROUND(H24*0.0929,3)</f>
        <v>10.451000000000001</v>
      </c>
      <c r="I25" s="18" t="s">
        <v>29</v>
      </c>
      <c r="J25" s="14" t="s">
        <v>18</v>
      </c>
      <c r="K25" s="61">
        <f>IF(B22="10.8",IF(J25="Labour Rate",70,IF(J25="Material Rate",112,IF(J25="Through Rate",181,0))),"")</f>
        <v>181</v>
      </c>
      <c r="L25" s="59">
        <f>IF(H25*K25&lt;&gt;0,H25*K25,0)</f>
        <v>1891.6310000000001</v>
      </c>
    </row>
    <row r="26" spans="1:12" ht="13.95" customHeight="1" x14ac:dyDescent="0.3">
      <c r="A26" s="65"/>
      <c r="B26" s="19"/>
      <c r="C26" s="20"/>
      <c r="D26" s="21"/>
      <c r="E26" s="20"/>
      <c r="F26" s="20"/>
      <c r="G26" s="20"/>
      <c r="H26" s="1"/>
      <c r="I26" s="22"/>
      <c r="J26" s="2"/>
      <c r="K26" s="3"/>
      <c r="L26" s="23"/>
    </row>
    <row r="27" spans="1:12" s="49" customFormat="1" ht="51.6" x14ac:dyDescent="0.3">
      <c r="A27" s="66">
        <f>IFERROR(LOOKUP(2,1/(ISNUMBER($A$2:$A$26)),$A$2:$A$26),0)+1</f>
        <v>5</v>
      </c>
      <c r="B27" s="44" t="s">
        <v>30</v>
      </c>
      <c r="C27" s="53" t="s">
        <v>31</v>
      </c>
      <c r="D27" s="45"/>
      <c r="E27" s="46"/>
      <c r="F27" s="46"/>
      <c r="G27" s="46"/>
      <c r="H27" s="1"/>
      <c r="I27" s="47"/>
      <c r="J27" s="2"/>
      <c r="K27" s="3"/>
      <c r="L27" s="48"/>
    </row>
    <row r="28" spans="1:12" ht="15.6" x14ac:dyDescent="0.3">
      <c r="A28" s="62"/>
      <c r="B28" s="4"/>
      <c r="C28" s="5"/>
      <c r="D28" s="6">
        <v>1</v>
      </c>
      <c r="E28" s="5">
        <v>100</v>
      </c>
      <c r="F28" s="5">
        <v>13</v>
      </c>
      <c r="G28" s="5"/>
      <c r="H28" s="41">
        <f>D28*IF(OR(E28=0,E28="-"),1,E28)*IF(OR(F28=0,F28="-"),1,F28)*IF(OR(G28=0,G28="-"),1,G28)</f>
        <v>1300</v>
      </c>
      <c r="I28" s="7" t="s">
        <v>26</v>
      </c>
      <c r="J28" s="8"/>
      <c r="K28" s="9"/>
      <c r="L28" s="10"/>
    </row>
    <row r="29" spans="1:12" ht="15.6" x14ac:dyDescent="0.3">
      <c r="A29" s="63"/>
      <c r="B29" s="11"/>
      <c r="C29" s="12"/>
      <c r="D29" s="11"/>
      <c r="E29" s="12"/>
      <c r="F29" s="42" t="s">
        <v>27</v>
      </c>
      <c r="G29" s="42"/>
      <c r="H29" s="40">
        <f>SUM(H28:INDEX(H:H,ROW()-1))</f>
        <v>1300</v>
      </c>
      <c r="I29" s="13" t="s">
        <v>26</v>
      </c>
      <c r="J29" s="14"/>
      <c r="K29" s="60">
        <f>0</f>
        <v>0</v>
      </c>
      <c r="L29" s="15"/>
    </row>
    <row r="30" spans="1:12" ht="28.8" x14ac:dyDescent="0.3">
      <c r="A30" s="64"/>
      <c r="B30" s="16"/>
      <c r="C30" s="17"/>
      <c r="D30" s="16"/>
      <c r="E30" s="43" t="s">
        <v>28</v>
      </c>
      <c r="F30" s="43"/>
      <c r="G30" s="43"/>
      <c r="H30" s="40">
        <f>ROUND(H29*0.0929,3)</f>
        <v>120.77</v>
      </c>
      <c r="I30" s="18" t="s">
        <v>29</v>
      </c>
      <c r="J30" s="14" t="s">
        <v>23</v>
      </c>
      <c r="K30" s="61">
        <f>IF(B27="11.25.2",IF(J30="Labour Rate Amnd",88,IF(J30="Material Rate Amnd",17,IF(J30="Through Rate Amnd",105,IF(J30="Labour Rate",77,IF(J30="Material Rate",17,IF(J30="Through Rate",94,0)))))),"")</f>
        <v>105</v>
      </c>
      <c r="L30" s="59">
        <f>IF(H30*K30&lt;&gt;0,H30*K30,0)</f>
        <v>12680.85</v>
      </c>
    </row>
    <row r="31" spans="1:12" ht="13.95" customHeight="1" x14ac:dyDescent="0.3">
      <c r="A31" s="65"/>
      <c r="B31" s="19"/>
      <c r="C31" s="20"/>
      <c r="D31" s="21"/>
      <c r="E31" s="20"/>
      <c r="F31" s="20"/>
      <c r="G31" s="20"/>
      <c r="H31" s="1"/>
      <c r="I31" s="22"/>
      <c r="J31" s="2"/>
      <c r="K31" s="3"/>
      <c r="L31" s="23"/>
    </row>
    <row r="32" spans="1:12" s="49" customFormat="1" ht="51.6" x14ac:dyDescent="0.3">
      <c r="A32" s="66">
        <f>IFERROR(LOOKUP(2,1/(ISNUMBER($A$2:$A$31)),$A$2:$A$31),0)+1</f>
        <v>6</v>
      </c>
      <c r="B32" s="44" t="s">
        <v>32</v>
      </c>
      <c r="C32" s="53" t="s">
        <v>33</v>
      </c>
      <c r="D32" s="45"/>
      <c r="E32" s="46"/>
      <c r="F32" s="46"/>
      <c r="G32" s="46"/>
      <c r="H32" s="1"/>
      <c r="I32" s="47"/>
      <c r="J32" s="2"/>
      <c r="K32" s="3"/>
      <c r="L32" s="48"/>
    </row>
    <row r="33" spans="1:12" ht="15.6" x14ac:dyDescent="0.3">
      <c r="A33" s="62"/>
      <c r="B33" s="4"/>
      <c r="C33" s="5"/>
      <c r="D33" s="6">
        <v>1</v>
      </c>
      <c r="E33" s="5">
        <v>100</v>
      </c>
      <c r="F33" s="5">
        <v>1.5</v>
      </c>
      <c r="G33" s="5"/>
      <c r="H33" s="41">
        <f>D33*IF(OR(E33=0,E33="-"),1,E33)*IF(OR(F33=0,F33="-"),1,F33)*IF(OR(G33=0,G33="-"),1,G33)</f>
        <v>150</v>
      </c>
      <c r="I33" s="7" t="s">
        <v>26</v>
      </c>
      <c r="J33" s="8"/>
      <c r="K33" s="9"/>
      <c r="L33" s="10"/>
    </row>
    <row r="34" spans="1:12" ht="15.6" x14ac:dyDescent="0.3">
      <c r="A34" s="63"/>
      <c r="B34" s="11"/>
      <c r="C34" s="12"/>
      <c r="D34" s="11"/>
      <c r="E34" s="12"/>
      <c r="F34" s="42" t="s">
        <v>27</v>
      </c>
      <c r="G34" s="42"/>
      <c r="H34" s="40">
        <f>SUM(H33:INDEX(H:H,ROW()-1))</f>
        <v>150</v>
      </c>
      <c r="I34" s="13" t="s">
        <v>26</v>
      </c>
      <c r="J34" s="14"/>
      <c r="K34" s="60">
        <f>0</f>
        <v>0</v>
      </c>
      <c r="L34" s="15"/>
    </row>
    <row r="35" spans="1:12" ht="28.8" x14ac:dyDescent="0.3">
      <c r="A35" s="64"/>
      <c r="B35" s="16"/>
      <c r="C35" s="17"/>
      <c r="D35" s="16"/>
      <c r="E35" s="43" t="s">
        <v>28</v>
      </c>
      <c r="F35" s="43"/>
      <c r="G35" s="43"/>
      <c r="H35" s="40">
        <f>ROUND(H34*0.0929,3)</f>
        <v>13.935</v>
      </c>
      <c r="I35" s="18" t="s">
        <v>29</v>
      </c>
      <c r="J35" s="14" t="s">
        <v>23</v>
      </c>
      <c r="K35" s="61">
        <f>IF(B32="11.9.1",IF(J35="Labour Rate Amnd",88,IF(J35="Material Rate Amnd",51,IF(J35="Through Rate Amnd",139,IF(J35="Labour Rate",52,IF(J35="Material Rate",51,IF(J35="Through Rate",103,0)))))),"")</f>
        <v>139</v>
      </c>
      <c r="L35" s="59">
        <f>IF(H35*K35&lt;&gt;0,H35*K35,0)</f>
        <v>1936.9650000000001</v>
      </c>
    </row>
    <row r="36" spans="1:12" ht="13.95" customHeight="1" x14ac:dyDescent="0.3">
      <c r="A36" s="65"/>
      <c r="B36" s="19"/>
      <c r="C36" s="20"/>
      <c r="D36" s="21"/>
      <c r="E36" s="20"/>
      <c r="F36" s="20"/>
      <c r="G36" s="20"/>
      <c r="H36" s="1"/>
      <c r="I36" s="22"/>
      <c r="J36" s="2"/>
      <c r="K36" s="3"/>
      <c r="L36" s="23"/>
    </row>
    <row r="37" spans="1:12" s="49" customFormat="1" ht="41.4" x14ac:dyDescent="0.3">
      <c r="A37" s="66">
        <f>IFERROR(LOOKUP(2,1/(ISNUMBER($A$2:$A$36)),$A$2:$A$36),0)+1</f>
        <v>7</v>
      </c>
      <c r="B37" s="44" t="s">
        <v>34</v>
      </c>
      <c r="C37" s="53" t="s">
        <v>35</v>
      </c>
      <c r="D37" s="45"/>
      <c r="E37" s="46"/>
      <c r="F37" s="46"/>
      <c r="G37" s="46"/>
      <c r="H37" s="1"/>
      <c r="I37" s="47"/>
      <c r="J37" s="2"/>
      <c r="K37" s="3"/>
      <c r="L37" s="48"/>
    </row>
    <row r="38" spans="1:12" ht="15.6" x14ac:dyDescent="0.3">
      <c r="A38" s="62"/>
      <c r="B38" s="4"/>
      <c r="C38" s="5"/>
      <c r="D38" s="6">
        <v>1</v>
      </c>
      <c r="E38" s="5">
        <v>100</v>
      </c>
      <c r="F38" s="5">
        <v>11.5</v>
      </c>
      <c r="G38" s="5"/>
      <c r="H38" s="41">
        <f>D38*IF(OR(E38=0,E38="-"),1,E38)*IF(OR(F38=0,F38="-"),1,F38)*IF(OR(G38=0,G38="-"),1,G38)</f>
        <v>1150</v>
      </c>
      <c r="I38" s="7" t="s">
        <v>26</v>
      </c>
      <c r="J38" s="8"/>
      <c r="K38" s="9"/>
      <c r="L38" s="10"/>
    </row>
    <row r="39" spans="1:12" ht="15.6" x14ac:dyDescent="0.3">
      <c r="A39" s="63"/>
      <c r="B39" s="11"/>
      <c r="C39" s="12"/>
      <c r="D39" s="11"/>
      <c r="E39" s="12"/>
      <c r="F39" s="42" t="s">
        <v>27</v>
      </c>
      <c r="G39" s="42"/>
      <c r="H39" s="40">
        <f>SUM(H38:INDEX(H:H,ROW()-1))</f>
        <v>1150</v>
      </c>
      <c r="I39" s="13" t="s">
        <v>26</v>
      </c>
      <c r="J39" s="14"/>
      <c r="K39" s="60">
        <f>0</f>
        <v>0</v>
      </c>
      <c r="L39" s="15"/>
    </row>
    <row r="40" spans="1:12" s="25" customFormat="1" ht="28.8" x14ac:dyDescent="0.3">
      <c r="A40" s="24" t="s">
        <v>36</v>
      </c>
      <c r="B40" s="16"/>
      <c r="C40" s="17"/>
      <c r="D40" s="16"/>
      <c r="E40" s="43" t="s">
        <v>28</v>
      </c>
      <c r="F40" s="43"/>
      <c r="G40" s="43"/>
      <c r="H40" s="40">
        <f>ROUND(H39*0.0929,3)</f>
        <v>106.83499999999999</v>
      </c>
      <c r="I40" s="18" t="s">
        <v>29</v>
      </c>
      <c r="J40" s="14" t="s">
        <v>18</v>
      </c>
      <c r="K40" s="61">
        <f>IF(B37="7.59",IF(J40="Labour Rate",106,IF(J40="Material Rate",109,IF(J40="Through Rate",215,0))),"")</f>
        <v>215</v>
      </c>
      <c r="L40" s="59">
        <f>IF(H40*K40&lt;&gt;0,H40*K40,0)</f>
        <v>22969.524999999998</v>
      </c>
    </row>
    <row r="41" spans="1:12" ht="13.95" customHeight="1" thickBot="1" x14ac:dyDescent="0.35">
      <c r="A41" s="67"/>
      <c r="B41" s="68"/>
      <c r="C41" s="69"/>
      <c r="D41" s="70"/>
      <c r="E41" s="69"/>
      <c r="F41" s="69"/>
      <c r="G41" s="69"/>
      <c r="H41" s="71"/>
      <c r="I41" s="72"/>
      <c r="J41" s="72"/>
      <c r="K41" s="72"/>
      <c r="L41" s="73"/>
    </row>
    <row r="42" spans="1:12" ht="15" thickTop="1" x14ac:dyDescent="0.3">
      <c r="H42" s="55"/>
      <c r="I42" s="55"/>
      <c r="J42" s="28" t="s">
        <v>37</v>
      </c>
      <c r="K42" s="29"/>
      <c r="L42" s="30">
        <f>SUM(L3:INDEX(L:L,ROW()-1))</f>
        <v>487080.63400000002</v>
      </c>
    </row>
    <row r="43" spans="1:12" ht="14.4" x14ac:dyDescent="0.3">
      <c r="H43" s="55"/>
      <c r="I43" s="55"/>
      <c r="J43" s="31" t="s">
        <v>38</v>
      </c>
      <c r="K43" s="32"/>
      <c r="L43" s="33">
        <f>$L$42*0.18</f>
        <v>87674.514120000007</v>
      </c>
    </row>
    <row r="44" spans="1:12" ht="14.4" x14ac:dyDescent="0.3">
      <c r="H44" s="55"/>
      <c r="I44" s="55"/>
      <c r="J44" s="31" t="s">
        <v>39</v>
      </c>
      <c r="K44" s="32"/>
      <c r="L44" s="33">
        <f>$L$42+$L$43</f>
        <v>574755.14812000003</v>
      </c>
    </row>
    <row r="45" spans="1:12" ht="14.4" x14ac:dyDescent="0.3">
      <c r="H45" s="55"/>
      <c r="I45" s="55"/>
      <c r="J45" s="31" t="s">
        <v>40</v>
      </c>
      <c r="K45" s="32"/>
      <c r="L45" s="33">
        <f>$L$44*0.01</f>
        <v>5747.5514812000001</v>
      </c>
    </row>
    <row r="46" spans="1:12" ht="15" thickBot="1" x14ac:dyDescent="0.35">
      <c r="H46" s="55"/>
      <c r="I46" s="55"/>
      <c r="J46" s="34" t="s">
        <v>41</v>
      </c>
      <c r="K46" s="35"/>
      <c r="L46" s="36">
        <f>$L$44+$L$45</f>
        <v>580502.69960120006</v>
      </c>
    </row>
    <row r="47" spans="1:12" ht="15" thickTop="1" x14ac:dyDescent="0.3">
      <c r="H47" s="55"/>
      <c r="I47" s="55"/>
      <c r="J47" s="37" t="s">
        <v>42</v>
      </c>
      <c r="K47" s="38"/>
      <c r="L47" s="27"/>
    </row>
    <row r="48" spans="1:12" ht="36" x14ac:dyDescent="0.3">
      <c r="H48" s="55"/>
      <c r="I48" s="56" t="s">
        <v>43</v>
      </c>
      <c r="J48" s="57" t="str">
        <f>IF(L46&gt;=10000000,ROUND(L46/10000000,2)&amp;" Crore",IF(L46&gt;=100000,ROUND(L46/100000,2)&amp;" Lakh",IF(L46&gt;=1000,ROUND(L46/1000,2)&amp;" Thousand",ROUND(L46,0)))) &amp; " Only"</f>
        <v>5.81 Lakh Only</v>
      </c>
      <c r="K48" s="58"/>
      <c r="L48" s="58"/>
    </row>
    <row r="49" ht="14.4" x14ac:dyDescent="0.3"/>
    <row r="50" ht="14.4" x14ac:dyDescent="0.3"/>
    <row r="51" ht="14.4" x14ac:dyDescent="0.3"/>
    <row r="52" ht="14.4" hidden="1" x14ac:dyDescent="0.3"/>
    <row r="53" ht="14.4" hidden="1" x14ac:dyDescent="0.3"/>
    <row r="54" ht="14.4" hidden="1" x14ac:dyDescent="0.3"/>
    <row r="55" ht="14.4" hidden="1" x14ac:dyDescent="0.3"/>
    <row r="56" ht="14.4" hidden="1" x14ac:dyDescent="0.3"/>
    <row r="57" ht="14.4" hidden="1" x14ac:dyDescent="0.3"/>
    <row r="58" ht="14.4" hidden="1" x14ac:dyDescent="0.3"/>
    <row r="59" ht="14.4" hidden="1" x14ac:dyDescent="0.3"/>
    <row r="60" ht="14.4" hidden="1" x14ac:dyDescent="0.3"/>
    <row r="61" ht="14.4" hidden="1" x14ac:dyDescent="0.3"/>
    <row r="62" ht="14.4" hidden="1" x14ac:dyDescent="0.3"/>
    <row r="63" ht="14.4" hidden="1" x14ac:dyDescent="0.3"/>
    <row r="64" ht="14.4" hidden="1" x14ac:dyDescent="0.3"/>
    <row r="65" ht="14.4" hidden="1" x14ac:dyDescent="0.3"/>
    <row r="66" ht="14.4" hidden="1" x14ac:dyDescent="0.3"/>
    <row r="67" ht="14.4" hidden="1" x14ac:dyDescent="0.3"/>
    <row r="68" ht="14.4" hidden="1" x14ac:dyDescent="0.3"/>
    <row r="69" ht="14.4" hidden="1" x14ac:dyDescent="0.3"/>
    <row r="70" ht="14.4" hidden="1" x14ac:dyDescent="0.3"/>
    <row r="71" ht="14.4" hidden="1" x14ac:dyDescent="0.3"/>
    <row r="72" ht="14.4" hidden="1" x14ac:dyDescent="0.3"/>
  </sheetData>
  <mergeCells count="14">
    <mergeCell ref="E20:G20"/>
    <mergeCell ref="F5:G5"/>
    <mergeCell ref="E6:G6"/>
    <mergeCell ref="F10:G10"/>
    <mergeCell ref="E11:G11"/>
    <mergeCell ref="F19:G19"/>
    <mergeCell ref="F39:G39"/>
    <mergeCell ref="E40:G40"/>
    <mergeCell ref="F24:G24"/>
    <mergeCell ref="E25:G25"/>
    <mergeCell ref="F29:G29"/>
    <mergeCell ref="E30:G30"/>
    <mergeCell ref="F34:G34"/>
    <mergeCell ref="E35:G35"/>
  </mergeCells>
  <conditionalFormatting sqref="K39">
    <cfRule type="expression" dxfId="6" priority="8" stopIfTrue="1">
      <formula>AND(ISNUMBER(K39),K39&lt;&gt;0)</formula>
    </cfRule>
  </conditionalFormatting>
  <conditionalFormatting sqref="K34">
    <cfRule type="expression" dxfId="5" priority="9" stopIfTrue="1">
      <formula>AND(ISNUMBER(K34),K34&lt;&gt;0)</formula>
    </cfRule>
  </conditionalFormatting>
  <conditionalFormatting sqref="K29">
    <cfRule type="expression" dxfId="4" priority="10" stopIfTrue="1">
      <formula>AND(ISNUMBER(K29),K29&lt;&gt;0)</formula>
    </cfRule>
  </conditionalFormatting>
  <conditionalFormatting sqref="K24">
    <cfRule type="expression" dxfId="3" priority="11" stopIfTrue="1">
      <formula>AND(ISNUMBER(K24),K24&lt;&gt;0)</formula>
    </cfRule>
  </conditionalFormatting>
  <conditionalFormatting sqref="K19">
    <cfRule type="expression" dxfId="2" priority="12" stopIfTrue="1">
      <formula>AND(ISNUMBER(K19),K19&lt;&gt;0)</formula>
    </cfRule>
  </conditionalFormatting>
  <conditionalFormatting sqref="K10">
    <cfRule type="expression" dxfId="1" priority="13" stopIfTrue="1">
      <formula>AND(ISNUMBER(K10),K10&lt;&gt;0)</formula>
    </cfRule>
  </conditionalFormatting>
  <conditionalFormatting sqref="K5">
    <cfRule type="expression" dxfId="0" priority="14" stopIfTrue="1">
      <formula>AND(ISNUMBER(K5),K5&lt;&gt;0)</formula>
    </cfRule>
  </conditionalFormatting>
  <dataValidations count="3">
    <dataValidation type="list" allowBlank="1" showInputMessage="1" showErrorMessage="1" sqref="J35 J30 J20" xr:uid="{818CDA21-998E-4109-A81A-F8F60E1B8E08}">
      <formula1>"Through Rate Amnd,Through Rate,Material Rate Amnd,Material Rate,Labour Rate Amnd,Labour Rate"</formula1>
    </dataValidation>
    <dataValidation type="list" allowBlank="1" showInputMessage="1" showErrorMessage="1" sqref="J40 J25 J11" xr:uid="{BBACB7ED-40BC-405B-B5C4-F732F639067B}">
      <formula1>"Through Rate,Material Rate,Labour Rate"</formula1>
    </dataValidation>
    <dataValidation type="list" allowBlank="1" showInputMessage="1" showErrorMessage="1" sqref="J6" xr:uid="{FE498079-4926-4684-983F-353AEF47D803}">
      <formula1>"Through Rate,Labour Rate,Machinery Rate"</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 WALL 10.5HT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verma</dc:creator>
  <cp:lastModifiedBy>GarG BroThers</cp:lastModifiedBy>
  <dcterms:created xsi:type="dcterms:W3CDTF">2026-01-19T19:37:48Z</dcterms:created>
  <dcterms:modified xsi:type="dcterms:W3CDTF">2026-01-19T22:54:23Z</dcterms:modified>
</cp:coreProperties>
</file>