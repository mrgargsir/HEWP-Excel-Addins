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AppData\Local\MRGARGSIRTools\MyTemplates\"/>
    </mc:Choice>
  </mc:AlternateContent>
  <xr:revisionPtr revIDLastSave="0" documentId="8_{90C45505-EEFB-48C1-BCD9-2EECBBBE7C0F}" xr6:coauthVersionLast="47" xr6:coauthVersionMax="47" xr10:uidLastSave="{00000000-0000-0000-0000-000000000000}"/>
  <bookViews>
    <workbookView xWindow="-108" yWindow="-108" windowWidth="23256" windowHeight="12456" xr2:uid="{E07E5BEF-1076-46AB-ADB0-62FD798C8736}"/>
  </bookViews>
  <sheets>
    <sheet name="Building"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35" i="2" l="1"/>
  <c r="I434" i="2"/>
  <c r="I433" i="2"/>
  <c r="I432" i="2"/>
  <c r="I431" i="2"/>
  <c r="I430" i="2"/>
  <c r="I429" i="2"/>
  <c r="I428" i="2"/>
  <c r="I427" i="2"/>
  <c r="I426" i="2"/>
  <c r="I425" i="2"/>
  <c r="I424" i="2"/>
  <c r="I423" i="2"/>
  <c r="L372" i="2"/>
  <c r="K372" i="2"/>
  <c r="H372" i="2"/>
  <c r="H435" i="2" s="1"/>
  <c r="L435" i="2" s="1"/>
  <c r="M435" i="2" s="1"/>
  <c r="K371" i="2"/>
  <c r="H371" i="2"/>
  <c r="H370" i="2"/>
  <c r="K367" i="2"/>
  <c r="K366" i="2"/>
  <c r="H365" i="2"/>
  <c r="H366" i="2" s="1"/>
  <c r="H367" i="2" s="1"/>
  <c r="K362" i="2"/>
  <c r="H362" i="2"/>
  <c r="H419" i="2" s="1"/>
  <c r="L419" i="2" s="1"/>
  <c r="M419" i="2" s="1"/>
  <c r="K361" i="2"/>
  <c r="H361" i="2"/>
  <c r="H360" i="2"/>
  <c r="K357" i="2"/>
  <c r="K356" i="2"/>
  <c r="H356" i="2"/>
  <c r="H357" i="2" s="1"/>
  <c r="H355" i="2"/>
  <c r="K352" i="2"/>
  <c r="K351" i="2"/>
  <c r="H351" i="2"/>
  <c r="H352" i="2" s="1"/>
  <c r="H350" i="2"/>
  <c r="K347" i="2"/>
  <c r="K346" i="2"/>
  <c r="H345" i="2"/>
  <c r="H346" i="2" s="1"/>
  <c r="H347" i="2" s="1"/>
  <c r="K342" i="2"/>
  <c r="K341" i="2"/>
  <c r="H340" i="2"/>
  <c r="H341" i="2" s="1"/>
  <c r="H342" i="2" s="1"/>
  <c r="K337" i="2"/>
  <c r="K336" i="2"/>
  <c r="H335" i="2"/>
  <c r="H336" i="2" s="1"/>
  <c r="H337" i="2" s="1"/>
  <c r="K332" i="2"/>
  <c r="K331" i="2"/>
  <c r="H330" i="2"/>
  <c r="H331" i="2" s="1"/>
  <c r="H332" i="2" s="1"/>
  <c r="K327" i="2"/>
  <c r="K326" i="2"/>
  <c r="H325" i="2"/>
  <c r="H326" i="2" s="1"/>
  <c r="H327" i="2" s="1"/>
  <c r="K322" i="2"/>
  <c r="K321" i="2"/>
  <c r="H320" i="2"/>
  <c r="H321" i="2" s="1"/>
  <c r="H322" i="2" s="1"/>
  <c r="K317" i="2"/>
  <c r="K316" i="2"/>
  <c r="K312" i="2"/>
  <c r="K311" i="2"/>
  <c r="K307" i="2"/>
  <c r="K306" i="2"/>
  <c r="K303" i="2"/>
  <c r="K302" i="2"/>
  <c r="H301" i="2"/>
  <c r="H302" i="2" s="1"/>
  <c r="K298" i="2"/>
  <c r="K297" i="2"/>
  <c r="H296" i="2"/>
  <c r="H297" i="2" s="1"/>
  <c r="H298" i="2" s="1"/>
  <c r="K293" i="2"/>
  <c r="K292" i="2"/>
  <c r="H291" i="2"/>
  <c r="H292" i="2" s="1"/>
  <c r="H293" i="2" s="1"/>
  <c r="K288" i="2"/>
  <c r="K287" i="2"/>
  <c r="H286" i="2"/>
  <c r="H287" i="2" s="1"/>
  <c r="H288" i="2" s="1"/>
  <c r="K283" i="2"/>
  <c r="K282" i="2"/>
  <c r="H281" i="2"/>
  <c r="H282" i="2" s="1"/>
  <c r="H283" i="2" s="1"/>
  <c r="K278" i="2"/>
  <c r="K277" i="2"/>
  <c r="H276" i="2"/>
  <c r="H277" i="2" s="1"/>
  <c r="H278" i="2" s="1"/>
  <c r="K273" i="2"/>
  <c r="K272" i="2"/>
  <c r="H272" i="2"/>
  <c r="H273" i="2" s="1"/>
  <c r="H271" i="2"/>
  <c r="K268" i="2"/>
  <c r="H268" i="2"/>
  <c r="L268" i="2" s="1"/>
  <c r="K267" i="2"/>
  <c r="H267" i="2"/>
  <c r="H266" i="2"/>
  <c r="K263" i="2"/>
  <c r="K262" i="2"/>
  <c r="H261" i="2"/>
  <c r="H260" i="2"/>
  <c r="H262" i="2" s="1"/>
  <c r="H263" i="2" s="1"/>
  <c r="L263" i="2" s="1"/>
  <c r="K257" i="2"/>
  <c r="K256" i="2"/>
  <c r="H255" i="2"/>
  <c r="H254" i="2"/>
  <c r="H253" i="2"/>
  <c r="H252" i="2"/>
  <c r="H256" i="2" s="1"/>
  <c r="H257" i="2" s="1"/>
  <c r="H251" i="2"/>
  <c r="K247" i="2"/>
  <c r="K246" i="2"/>
  <c r="K242" i="2"/>
  <c r="K241" i="2"/>
  <c r="H240" i="2"/>
  <c r="H241" i="2" s="1"/>
  <c r="H242" i="2" s="1"/>
  <c r="H239" i="2"/>
  <c r="K236" i="2"/>
  <c r="K235" i="2"/>
  <c r="H234" i="2"/>
  <c r="H233" i="2"/>
  <c r="H232" i="2"/>
  <c r="H231" i="2"/>
  <c r="H235" i="2" s="1"/>
  <c r="H236" i="2" s="1"/>
  <c r="K228" i="2"/>
  <c r="K227" i="2"/>
  <c r="H226" i="2"/>
  <c r="H225" i="2"/>
  <c r="H227" i="2" s="1"/>
  <c r="H228" i="2" s="1"/>
  <c r="L228" i="2" s="1"/>
  <c r="K222" i="2"/>
  <c r="K221" i="2"/>
  <c r="H220" i="2"/>
  <c r="H219" i="2"/>
  <c r="H218" i="2"/>
  <c r="H221" i="2" s="1"/>
  <c r="H222" i="2" s="1"/>
  <c r="L222" i="2" s="1"/>
  <c r="H217" i="2"/>
  <c r="K214" i="2"/>
  <c r="K213" i="2"/>
  <c r="H213" i="2"/>
  <c r="E245" i="2" s="1"/>
  <c r="H245" i="2" s="1"/>
  <c r="H246" i="2" s="1"/>
  <c r="H247" i="2" s="1"/>
  <c r="H212" i="2"/>
  <c r="H211" i="2"/>
  <c r="H210" i="2"/>
  <c r="H209" i="2"/>
  <c r="H208" i="2"/>
  <c r="H207" i="2"/>
  <c r="K202" i="2"/>
  <c r="K201" i="2"/>
  <c r="H200" i="2"/>
  <c r="H201" i="2" s="1"/>
  <c r="H202" i="2" s="1"/>
  <c r="H199" i="2"/>
  <c r="K196" i="2"/>
  <c r="K195" i="2"/>
  <c r="E194" i="2"/>
  <c r="H194" i="2" s="1"/>
  <c r="H195" i="2" s="1"/>
  <c r="H196" i="2" s="1"/>
  <c r="K191" i="2"/>
  <c r="K190" i="2"/>
  <c r="H189" i="2"/>
  <c r="H190" i="2" s="1"/>
  <c r="H191" i="2" s="1"/>
  <c r="L191" i="2" s="1"/>
  <c r="H188" i="2"/>
  <c r="K184" i="2"/>
  <c r="K183" i="2"/>
  <c r="E182" i="2"/>
  <c r="H182" i="2" s="1"/>
  <c r="H181" i="2"/>
  <c r="H183" i="2" s="1"/>
  <c r="H184" i="2" s="1"/>
  <c r="L184" i="2" s="1"/>
  <c r="K178" i="2"/>
  <c r="K177" i="2"/>
  <c r="K173" i="2"/>
  <c r="K172" i="2"/>
  <c r="H171" i="2"/>
  <c r="H172" i="2" s="1"/>
  <c r="H173" i="2" s="1"/>
  <c r="K168" i="2"/>
  <c r="K167" i="2"/>
  <c r="H166" i="2"/>
  <c r="H167" i="2" s="1"/>
  <c r="H168" i="2" s="1"/>
  <c r="L168" i="2" s="1"/>
  <c r="K161" i="2"/>
  <c r="K160" i="2"/>
  <c r="H159" i="2"/>
  <c r="H160" i="2" s="1"/>
  <c r="H161" i="2" s="1"/>
  <c r="L161" i="2" s="1"/>
  <c r="K155" i="2"/>
  <c r="K154" i="2"/>
  <c r="H150" i="2"/>
  <c r="H151" i="2" s="1"/>
  <c r="H152" i="2" s="1"/>
  <c r="H153" i="2" s="1"/>
  <c r="H143" i="2"/>
  <c r="H144" i="2" s="1"/>
  <c r="H145" i="2" s="1"/>
  <c r="H155" i="2" s="1"/>
  <c r="L155" i="2" s="1"/>
  <c r="H142" i="2"/>
  <c r="K137" i="2"/>
  <c r="K136" i="2"/>
  <c r="H134" i="2"/>
  <c r="E134" i="2"/>
  <c r="H133" i="2"/>
  <c r="K130" i="2"/>
  <c r="K129" i="2"/>
  <c r="D128" i="2"/>
  <c r="H128" i="2" s="1"/>
  <c r="D127" i="2"/>
  <c r="H127" i="2" s="1"/>
  <c r="H129" i="2" s="1"/>
  <c r="H130" i="2" s="1"/>
  <c r="K124" i="2"/>
  <c r="K123" i="2"/>
  <c r="H122" i="2"/>
  <c r="H121" i="2"/>
  <c r="H120" i="2"/>
  <c r="H123" i="2" s="1"/>
  <c r="H124" i="2" s="1"/>
  <c r="K117" i="2"/>
  <c r="K116" i="2"/>
  <c r="H115" i="2"/>
  <c r="H116" i="2" s="1"/>
  <c r="H117" i="2" s="1"/>
  <c r="K112" i="2"/>
  <c r="K111" i="2"/>
  <c r="H110" i="2"/>
  <c r="H109" i="2"/>
  <c r="H108" i="2"/>
  <c r="H107" i="2"/>
  <c r="H111" i="2" s="1"/>
  <c r="H112" i="2" s="1"/>
  <c r="L112" i="2" s="1"/>
  <c r="H106" i="2"/>
  <c r="H105" i="2"/>
  <c r="K102" i="2"/>
  <c r="K101" i="2"/>
  <c r="H100" i="2"/>
  <c r="H101" i="2" s="1"/>
  <c r="H102" i="2" s="1"/>
  <c r="L102" i="2" s="1"/>
  <c r="H99" i="2"/>
  <c r="H98" i="2"/>
  <c r="H97" i="2"/>
  <c r="K94" i="2"/>
  <c r="K93" i="2"/>
  <c r="H92" i="2"/>
  <c r="H91" i="2"/>
  <c r="H90" i="2"/>
  <c r="H93" i="2" s="1"/>
  <c r="H94" i="2" s="1"/>
  <c r="L94" i="2" s="1"/>
  <c r="K87" i="2"/>
  <c r="K86" i="2"/>
  <c r="H85" i="2"/>
  <c r="H84" i="2"/>
  <c r="H83" i="2"/>
  <c r="H82" i="2"/>
  <c r="H86" i="2" s="1"/>
  <c r="H87" i="2" s="1"/>
  <c r="K79" i="2"/>
  <c r="K78" i="2"/>
  <c r="H77" i="2"/>
  <c r="H76" i="2"/>
  <c r="H75" i="2"/>
  <c r="H74" i="2"/>
  <c r="H78" i="2" s="1"/>
  <c r="H79" i="2" s="1"/>
  <c r="K70" i="2"/>
  <c r="K69" i="2"/>
  <c r="H65" i="2"/>
  <c r="H64" i="2"/>
  <c r="H66" i="2" s="1"/>
  <c r="H67" i="2" s="1"/>
  <c r="H68" i="2" s="1"/>
  <c r="H57" i="2"/>
  <c r="H56" i="2"/>
  <c r="H55" i="2"/>
  <c r="H58" i="2" s="1"/>
  <c r="H59" i="2" s="1"/>
  <c r="H60" i="2" s="1"/>
  <c r="F55" i="2"/>
  <c r="H54" i="2"/>
  <c r="K49" i="2"/>
  <c r="K48" i="2"/>
  <c r="H47" i="2"/>
  <c r="H46" i="2"/>
  <c r="H45" i="2"/>
  <c r="E44" i="2"/>
  <c r="H44" i="2" s="1"/>
  <c r="H43" i="2"/>
  <c r="H42" i="2"/>
  <c r="H41" i="2"/>
  <c r="E36" i="2"/>
  <c r="E37" i="2" s="1"/>
  <c r="E31" i="2"/>
  <c r="H31" i="2" s="1"/>
  <c r="E26" i="2"/>
  <c r="E27" i="2" s="1"/>
  <c r="K23" i="2"/>
  <c r="K22" i="2"/>
  <c r="E21" i="2"/>
  <c r="H21" i="2" s="1"/>
  <c r="H20" i="2"/>
  <c r="E20" i="2"/>
  <c r="E19" i="2"/>
  <c r="H19" i="2" s="1"/>
  <c r="H22" i="2" s="1"/>
  <c r="H23" i="2" s="1"/>
  <c r="K16" i="2"/>
  <c r="K15" i="2"/>
  <c r="F14" i="2"/>
  <c r="E14" i="2"/>
  <c r="H14" i="2" s="1"/>
  <c r="H13" i="2"/>
  <c r="E13" i="2"/>
  <c r="E12" i="2"/>
  <c r="H12" i="2" s="1"/>
  <c r="E11" i="2"/>
  <c r="K8" i="2"/>
  <c r="K7" i="2"/>
  <c r="H6" i="2"/>
  <c r="H7" i="2" s="1"/>
  <c r="H8" i="2" s="1"/>
  <c r="L8" i="2" s="1"/>
  <c r="A5" i="2"/>
  <c r="A10" i="2" s="1"/>
  <c r="A18" i="2" s="1"/>
  <c r="H410" i="2" l="1"/>
  <c r="L410" i="2" s="1"/>
  <c r="M410" i="2" s="1"/>
  <c r="L257" i="2"/>
  <c r="L357" i="2"/>
  <c r="H418" i="2"/>
  <c r="L418" i="2" s="1"/>
  <c r="M418" i="2" s="1"/>
  <c r="H424" i="2"/>
  <c r="L424" i="2" s="1"/>
  <c r="M424" i="2" s="1"/>
  <c r="L117" i="2"/>
  <c r="H408" i="2"/>
  <c r="L408" i="2" s="1"/>
  <c r="M408" i="2" s="1"/>
  <c r="L236" i="2"/>
  <c r="L337" i="2"/>
  <c r="H431" i="2"/>
  <c r="L431" i="2" s="1"/>
  <c r="M431" i="2" s="1"/>
  <c r="H432" i="2"/>
  <c r="L432" i="2" s="1"/>
  <c r="M432" i="2" s="1"/>
  <c r="L342" i="2"/>
  <c r="L23" i="2"/>
  <c r="H401" i="2"/>
  <c r="L401" i="2" s="1"/>
  <c r="M401" i="2" s="1"/>
  <c r="H400" i="2"/>
  <c r="L400" i="2" s="1"/>
  <c r="M400" i="2" s="1"/>
  <c r="H413" i="2"/>
  <c r="L413" i="2" s="1"/>
  <c r="M413" i="2" s="1"/>
  <c r="L130" i="2"/>
  <c r="H421" i="2"/>
  <c r="L421" i="2" s="1"/>
  <c r="M421" i="2" s="1"/>
  <c r="H422" i="2"/>
  <c r="L422" i="2" s="1"/>
  <c r="M422" i="2" s="1"/>
  <c r="H406" i="2"/>
  <c r="L406" i="2" s="1"/>
  <c r="M406" i="2" s="1"/>
  <c r="L196" i="2"/>
  <c r="L288" i="2"/>
  <c r="H411" i="2"/>
  <c r="L411" i="2" s="1"/>
  <c r="M411" i="2" s="1"/>
  <c r="L278" i="2"/>
  <c r="H416" i="2"/>
  <c r="L416" i="2" s="1"/>
  <c r="M416" i="2" s="1"/>
  <c r="H414" i="2"/>
  <c r="L414" i="2" s="1"/>
  <c r="M414" i="2" s="1"/>
  <c r="L283" i="2"/>
  <c r="L367" i="2"/>
  <c r="H434" i="2"/>
  <c r="L434" i="2" s="1"/>
  <c r="M434" i="2" s="1"/>
  <c r="G305" i="2"/>
  <c r="H305" i="2" s="1"/>
  <c r="H306" i="2" s="1"/>
  <c r="H303" i="2"/>
  <c r="H404" i="2"/>
  <c r="L404" i="2" s="1"/>
  <c r="M404" i="2" s="1"/>
  <c r="L247" i="2"/>
  <c r="L322" i="2"/>
  <c r="H429" i="2"/>
  <c r="L429" i="2" s="1"/>
  <c r="M429" i="2" s="1"/>
  <c r="H405" i="2"/>
  <c r="L405" i="2" s="1"/>
  <c r="M405" i="2" s="1"/>
  <c r="L87" i="2"/>
  <c r="L242" i="2"/>
  <c r="H407" i="2"/>
  <c r="L407" i="2" s="1"/>
  <c r="M407" i="2" s="1"/>
  <c r="E28" i="2"/>
  <c r="H27" i="2"/>
  <c r="L293" i="2"/>
  <c r="H425" i="2"/>
  <c r="L425" i="2" s="1"/>
  <c r="M425" i="2" s="1"/>
  <c r="H393" i="2"/>
  <c r="L393" i="2" s="1"/>
  <c r="L202" i="2"/>
  <c r="H402" i="2"/>
  <c r="L402" i="2" s="1"/>
  <c r="M402" i="2" s="1"/>
  <c r="H399" i="2"/>
  <c r="L399" i="2" s="1"/>
  <c r="M399" i="2" s="1"/>
  <c r="L79" i="2"/>
  <c r="L124" i="2"/>
  <c r="H412" i="2"/>
  <c r="L412" i="2" s="1"/>
  <c r="M412" i="2" s="1"/>
  <c r="H394" i="2"/>
  <c r="L394" i="2" s="1"/>
  <c r="M394" i="2" s="1"/>
  <c r="H70" i="2"/>
  <c r="L70" i="2" s="1"/>
  <c r="F176" i="2"/>
  <c r="H176" i="2" s="1"/>
  <c r="H177" i="2" s="1"/>
  <c r="H178" i="2" s="1"/>
  <c r="L178" i="2" s="1"/>
  <c r="L173" i="2"/>
  <c r="H37" i="2"/>
  <c r="E38" i="2"/>
  <c r="H420" i="2"/>
  <c r="L420" i="2" s="1"/>
  <c r="M420" i="2" s="1"/>
  <c r="L327" i="2"/>
  <c r="L352" i="2"/>
  <c r="H417" i="2"/>
  <c r="L417" i="2" s="1"/>
  <c r="M417" i="2" s="1"/>
  <c r="H415" i="2"/>
  <c r="L415" i="2" s="1"/>
  <c r="M415" i="2" s="1"/>
  <c r="L273" i="2"/>
  <c r="L332" i="2"/>
  <c r="H430" i="2"/>
  <c r="L430" i="2" s="1"/>
  <c r="M430" i="2" s="1"/>
  <c r="A25" i="2"/>
  <c r="A51" i="2" s="1"/>
  <c r="H433" i="2"/>
  <c r="L433" i="2" s="1"/>
  <c r="M433" i="2" s="1"/>
  <c r="L347" i="2"/>
  <c r="L298" i="2"/>
  <c r="H426" i="2"/>
  <c r="L426" i="2" s="1"/>
  <c r="M426" i="2" s="1"/>
  <c r="H36" i="2"/>
  <c r="H11" i="2"/>
  <c r="H15" i="2" s="1"/>
  <c r="H16" i="2" s="1"/>
  <c r="L362" i="2"/>
  <c r="H214" i="2"/>
  <c r="L214" i="2" s="1"/>
  <c r="E32" i="2"/>
  <c r="H26" i="2"/>
  <c r="A72" i="2" l="1"/>
  <c r="A81" i="2" s="1"/>
  <c r="M393" i="2"/>
  <c r="E29" i="2"/>
  <c r="H28" i="2"/>
  <c r="H397" i="2"/>
  <c r="L397" i="2" s="1"/>
  <c r="M397" i="2" s="1"/>
  <c r="L16" i="2"/>
  <c r="E135" i="2"/>
  <c r="H135" i="2" s="1"/>
  <c r="H136" i="2" s="1"/>
  <c r="H137" i="2" s="1"/>
  <c r="H423" i="2"/>
  <c r="L423" i="2" s="1"/>
  <c r="M423" i="2" s="1"/>
  <c r="E39" i="2"/>
  <c r="H38" i="2"/>
  <c r="H427" i="2"/>
  <c r="L427" i="2" s="1"/>
  <c r="M427" i="2" s="1"/>
  <c r="L303" i="2"/>
  <c r="E33" i="2"/>
  <c r="H32" i="2"/>
  <c r="E310" i="2"/>
  <c r="H307" i="2"/>
  <c r="L307" i="2" s="1"/>
  <c r="L137" i="2" l="1"/>
  <c r="H396" i="2"/>
  <c r="L396" i="2" s="1"/>
  <c r="M396" i="2" s="1"/>
  <c r="H29" i="2"/>
  <c r="E30" i="2"/>
  <c r="E40" i="2"/>
  <c r="H40" i="2" s="1"/>
  <c r="H39" i="2"/>
  <c r="E315" i="2"/>
  <c r="H315" i="2" s="1"/>
  <c r="H316" i="2" s="1"/>
  <c r="H317" i="2" s="1"/>
  <c r="H310" i="2"/>
  <c r="H311" i="2" s="1"/>
  <c r="H312" i="2" s="1"/>
  <c r="E34" i="2"/>
  <c r="H33" i="2"/>
  <c r="A89" i="2"/>
  <c r="L312" i="2" l="1"/>
  <c r="H428" i="2"/>
  <c r="L428" i="2" s="1"/>
  <c r="M428" i="2" s="1"/>
  <c r="H30" i="2"/>
  <c r="H409" i="2"/>
  <c r="L409" i="2" s="1"/>
  <c r="M409" i="2" s="1"/>
  <c r="L317" i="2"/>
  <c r="E35" i="2"/>
  <c r="H34" i="2"/>
  <c r="A96" i="2"/>
  <c r="H35" i="2" l="1"/>
  <c r="H48" i="2" s="1"/>
  <c r="H49" i="2" s="1"/>
  <c r="I394" i="2"/>
  <c r="I393" i="2"/>
  <c r="A104" i="2"/>
  <c r="H403" i="2" l="1"/>
  <c r="L403" i="2" s="1"/>
  <c r="M403" i="2" s="1"/>
  <c r="L49" i="2"/>
  <c r="L374" i="2" s="1"/>
  <c r="H398" i="2"/>
  <c r="L398" i="2" s="1"/>
  <c r="M398" i="2" s="1"/>
  <c r="H395" i="2"/>
  <c r="L395" i="2" s="1"/>
  <c r="A114" i="2"/>
  <c r="A119" i="2" l="1"/>
  <c r="M395" i="2"/>
  <c r="M436" i="2" s="1"/>
  <c r="L436" i="2"/>
  <c r="L437" i="2"/>
  <c r="L375" i="2"/>
  <c r="L376" i="2" s="1"/>
  <c r="M437" i="2" l="1"/>
  <c r="L377" i="2"/>
  <c r="L378" i="2" s="1"/>
  <c r="L438" i="2"/>
  <c r="M438" i="2"/>
  <c r="L439" i="2" s="1"/>
  <c r="A126" i="2"/>
  <c r="A132" i="2" s="1"/>
  <c r="L379" i="2" l="1"/>
  <c r="L380" i="2" s="1"/>
  <c r="J382" i="2" s="1"/>
  <c r="A139" i="2"/>
  <c r="A157" i="2" l="1"/>
  <c r="A163" i="2" l="1"/>
  <c r="A170" i="2" l="1"/>
  <c r="A175" i="2" l="1"/>
  <c r="A180" i="2" l="1"/>
  <c r="A186" i="2" l="1"/>
  <c r="A193" i="2" l="1"/>
  <c r="A198" i="2" l="1"/>
  <c r="A204" i="2" l="1"/>
  <c r="A216" i="2" l="1"/>
  <c r="A224" i="2" l="1"/>
  <c r="A230" i="2" l="1"/>
  <c r="A238" i="2" l="1"/>
  <c r="A244" i="2" s="1"/>
  <c r="A249" i="2" l="1"/>
  <c r="A259" i="2" l="1"/>
  <c r="A265" i="2" l="1"/>
  <c r="A270" i="2" s="1"/>
  <c r="A275" i="2" l="1"/>
  <c r="A280" i="2" l="1"/>
  <c r="A285" i="2" l="1"/>
  <c r="A290" i="2" l="1"/>
  <c r="A295" i="2" l="1"/>
  <c r="A300" i="2" l="1"/>
  <c r="A309" i="2" l="1"/>
  <c r="A314" i="2" l="1"/>
  <c r="A319" i="2" l="1"/>
  <c r="A324" i="2" l="1"/>
  <c r="A329" i="2" s="1"/>
  <c r="A334" i="2" l="1"/>
  <c r="A339" i="2" s="1"/>
  <c r="A344" i="2" l="1"/>
  <c r="A349" i="2" s="1"/>
  <c r="A354" i="2" l="1"/>
  <c r="A359" i="2" s="1"/>
  <c r="A364" i="2" s="1"/>
  <c r="A369" i="2" s="1"/>
</calcChain>
</file>

<file path=xl/sharedStrings.xml><?xml version="1.0" encoding="utf-8"?>
<sst xmlns="http://schemas.openxmlformats.org/spreadsheetml/2006/main" count="676" uniqueCount="238">
  <si>
    <t xml:space="preserve"> Construction Building</t>
  </si>
  <si>
    <t>Sr No</t>
  </si>
  <si>
    <t>HSR
Item No</t>
  </si>
  <si>
    <t>Description</t>
  </si>
  <si>
    <t>Nos</t>
  </si>
  <si>
    <t>Length</t>
  </si>
  <si>
    <t>Breadth</t>
  </si>
  <si>
    <t>Depth</t>
  </si>
  <si>
    <t>Quantity</t>
  </si>
  <si>
    <t>Unit</t>
  </si>
  <si>
    <t>Rate Type</t>
  </si>
  <si>
    <t>Rate</t>
  </si>
  <si>
    <t>Amount</t>
  </si>
  <si>
    <t>4.2</t>
  </si>
  <si>
    <t>(4.2) Earth Work and Rock Cutting Clearing grass and removal of the rubbish up to a distance of 50 m outside the periphery of the area cleared.</t>
  </si>
  <si>
    <t>sft</t>
  </si>
  <si>
    <t>Total (sft)</t>
  </si>
  <si>
    <t>Total (sqm)</t>
  </si>
  <si>
    <t>Sqm</t>
  </si>
  <si>
    <t>Through Rate</t>
  </si>
  <si>
    <t>]</t>
  </si>
  <si>
    <t>4.12.1</t>
  </si>
  <si>
    <r>
      <t xml:space="preserve">(4.12) Earth Work and Rock Cutting Earth work in excavation by mechanical means (Hydraulic excavator)/manual means over areas (exceeding 30 cm in depth, 1.5 m in width as well as 10 sqm on plan) including getting out and disposal of excavated earth lead up to 50 m and lift up to 1.5 m, as directed by Engineer-in-charge.
</t>
    </r>
    <r>
      <rPr>
        <b/>
        <i/>
        <sz val="9"/>
        <color rgb="FF8B0000"/>
        <rFont val="Times New Roman"/>
        <family val="1"/>
      </rPr>
      <t>(4.12.1) All kinds of soil</t>
    </r>
  </si>
  <si>
    <t>walls</t>
  </si>
  <si>
    <t>cft</t>
  </si>
  <si>
    <t>septic tank</t>
  </si>
  <si>
    <t>Total (cft)</t>
  </si>
  <si>
    <t>Total (cum)</t>
  </si>
  <si>
    <t>cum</t>
  </si>
  <si>
    <t>6.1.6</t>
  </si>
  <si>
    <r>
      <t xml:space="preserve">(6.1) Concrete and RCC Work A CEMENT CONCRETE (CAST IN SITU) Providing and laying in position cement concrete of specified grade excluding the cost of centering and shuttering - All work below plinth level and up to Floor IV level:
</t>
    </r>
    <r>
      <rPr>
        <b/>
        <i/>
        <sz val="9"/>
        <color rgb="FF8B0000"/>
        <rFont val="Times New Roman"/>
        <family val="1"/>
      </rPr>
      <t>(6.1.6) 1:4:8 (1 Cement : 4 coarse sand (zone-III) : 8 graded stone aggregate 40 mm nominal size)</t>
    </r>
  </si>
  <si>
    <t>7.21.2</t>
  </si>
  <si>
    <r>
      <t xml:space="preserve">(7.21) Brick work with common burnt clay non- modular bricks of class designation 10.5 in foundation and plinth in:
</t>
    </r>
    <r>
      <rPr>
        <b/>
        <i/>
        <sz val="9"/>
        <color rgb="FF8B0000"/>
        <rFont val="Times New Roman"/>
        <family val="1"/>
      </rPr>
      <t>(7.21.2) Cement mortar 1:6 (1 cement : 6 coarse sand)</t>
    </r>
  </si>
  <si>
    <t>Steps</t>
  </si>
  <si>
    <t>Through rates Amnd</t>
  </si>
  <si>
    <t>6.34.6</t>
  </si>
  <si>
    <r>
      <t xml:space="preserve">(6.34) Steel reinforcement for R.C.C. work, where not included in the complete rate of RCC, including straightening, cutting, bending, placing in position, binding, wastage, overlaps, welded joints, spacer bars, chairs, stays, hangers and annealed steel wire etc. complete in all respect above plinth level. Note:- Reinforcement shall be measured in length including hooks, if any, separately for different diameters as actually used in work , excluding overlaps. Wastage, overlaps, couplings, welded joints, spacer bars, chairs, stays, hangers and annealed steel wire or other methods of binding &amp; placing shall not be measured and cost of these items shall be deemed to be included in the rates for reinforcement.
</t>
    </r>
    <r>
      <rPr>
        <b/>
        <i/>
        <sz val="9"/>
        <color rgb="FF8B0000"/>
        <rFont val="Times New Roman"/>
        <family val="1"/>
      </rPr>
      <t>(6.34.6) Thermo-Mechanically Treated bars of grade Fe-500D or more.</t>
    </r>
  </si>
  <si>
    <t>Plinth beam</t>
  </si>
  <si>
    <t>12mm Dia</t>
  </si>
  <si>
    <t>rft</t>
  </si>
  <si>
    <t>cover</t>
  </si>
  <si>
    <t>Total (rft)</t>
  </si>
  <si>
    <t>Total (m)</t>
  </si>
  <si>
    <t>m</t>
  </si>
  <si>
    <t>Total (Weight of φ12mm Rebar)</t>
  </si>
  <si>
    <t>Kg</t>
  </si>
  <si>
    <t>A</t>
  </si>
  <si>
    <t>Ring  (7*7)</t>
  </si>
  <si>
    <t>8mm Dia</t>
  </si>
  <si>
    <t>Total (Weight of φ8mm Rebar)</t>
  </si>
  <si>
    <t>B</t>
  </si>
  <si>
    <t>Total A + B</t>
  </si>
  <si>
    <t>6.14.1</t>
  </si>
  <si>
    <r>
      <t xml:space="preserve">(6.14) Concrete and RCC Work D REINFORCED CEMENT CONCRETE Providing and laying in position specified grade of reinforced cement concrete, excluding the cost of centering, shuttering, finishing and reinforcement - All work up to plinth level :
</t>
    </r>
    <r>
      <rPr>
        <b/>
        <i/>
        <sz val="9"/>
        <color rgb="FF8B0000"/>
        <rFont val="Times New Roman"/>
        <family val="1"/>
      </rPr>
      <t>(6.14.1) 1:1.5:3 (1 cement : 1.5 coarse sand (zone-III): 3 graded stone aggregate 20 mm nominal size)</t>
    </r>
  </si>
  <si>
    <t>cover septic tank</t>
  </si>
  <si>
    <t>6.30.5</t>
  </si>
  <si>
    <r>
      <t xml:space="preserve">(6.30) Concrete and RCC Work I CENTRING AND SHUTTERING (FORM WORK) Centering and shuttering including strutting, propping etc. and removal of form for
</t>
    </r>
    <r>
      <rPr>
        <b/>
        <i/>
        <sz val="9"/>
        <color rgb="FF8B0000"/>
        <rFont val="Times New Roman"/>
        <family val="1"/>
      </rPr>
      <t>(6.30.5) Lintels, beams, plinth beams, girders, bressumers and cantilevers</t>
    </r>
  </si>
  <si>
    <t>6.8.2</t>
  </si>
  <si>
    <r>
      <t xml:space="preserve">(6.8) Concrete and RCC Work B DAMP-PROOF COURSE Providing and laying damp-proof course with cement concrete 1:2:4 (1 cement : 2 coarse sand (zone-III): 4 graded stone aggregate 12.5mm nominal size)
</t>
    </r>
    <r>
      <rPr>
        <b/>
        <i/>
        <sz val="9"/>
        <color rgb="FF8B0000"/>
        <rFont val="Times New Roman"/>
        <family val="1"/>
      </rPr>
      <t>(6.8.2) 40mm thick</t>
    </r>
  </si>
  <si>
    <t>door</t>
  </si>
  <si>
    <t>7.22.2</t>
  </si>
  <si>
    <r>
      <t xml:space="preserve">(7.22) Brick work with common burnt clay non- modular bricks of class designation 7.5 in superstructure above plinth level up to floor IV level in all shapes and sizes in :
</t>
    </r>
    <r>
      <rPr>
        <b/>
        <i/>
        <sz val="9"/>
        <color rgb="FF8B0000"/>
        <rFont val="Times New Roman"/>
        <family val="1"/>
      </rPr>
      <t>(7.22.2) Cement mortar 1:6 (1 cement : 6 coarse sand)</t>
    </r>
  </si>
  <si>
    <t>D</t>
  </si>
  <si>
    <t>V</t>
  </si>
  <si>
    <t>7.28.2</t>
  </si>
  <si>
    <r>
      <t xml:space="preserve">(7.28) Brick Work and Stone Masonry HALF BRICK MASONRY Half brick masonry with common burnt clay non-modular bricks of class designation 10.5 in superstructure above plinth level up to floor IV level.
</t>
    </r>
    <r>
      <rPr>
        <b/>
        <i/>
        <sz val="9"/>
        <color rgb="FF8B0000"/>
        <rFont val="Times New Roman"/>
        <family val="1"/>
      </rPr>
      <t>(7.28.2) Cement mortar 1:4 (1 cement :4 coarse sand)</t>
    </r>
  </si>
  <si>
    <t>Toilet</t>
  </si>
  <si>
    <t>13.3.3.1</t>
  </si>
  <si>
    <r>
      <t xml:space="preserve">(13.3) Steel and Iron Work STEEL DOOR/ WINDOW FRAMES AND SHUTTERS Providing and fixing pressed steel door frames conforming to IS: 4351, manufactured from commercial mild steel sheet of 2.0 mm thickness, including hinges, jamb, lock jamb, bead and if required angle threshold of mild steel angle of section 50x25 mm, or base ties of 2.00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t>
    </r>
    <r>
      <rPr>
        <b/>
        <i/>
        <sz val="8"/>
        <color rgb="FF800080"/>
        <rFont val="Times New Roman"/>
        <family val="1"/>
      </rPr>
      <t>(13.3.3.1) Profile E Fixing with adjustable lugs with split end tail to each jamb</t>
    </r>
  </si>
  <si>
    <t>v</t>
  </si>
  <si>
    <t>Metre</t>
  </si>
  <si>
    <t>12.50.1</t>
  </si>
  <si>
    <r>
      <t xml:space="preserve">(12.50) Wood Work, PVC and Aluminum Door and Windows WINDOW GRILLS, METAL MESH, WIRE GAUGE ETC. Providing and fixing M.S. grills of required pattern in frames of windows etc. with M.S. flats, square or round bars etc. including priming coat with approved steel primer all complete.
</t>
    </r>
    <r>
      <rPr>
        <b/>
        <i/>
        <sz val="9"/>
        <color rgb="FF8B0000"/>
        <rFont val="Times New Roman"/>
        <family val="1"/>
      </rPr>
      <t>(12.50.1) Fixed to steel windows by welding</t>
    </r>
  </si>
  <si>
    <t>kg</t>
  </si>
  <si>
    <t>Total (kg)</t>
  </si>
  <si>
    <t>10.2</t>
  </si>
  <si>
    <t>(10.2) Flooring and Dados CEMENT CONCRETE FLOORING Supplying and filling in plinth with sand (conforming to zone-IV, IS 1542) under floors, including watering, ramming, consolidating and dressing complete.</t>
  </si>
  <si>
    <t>Did 1/3 of Excavation</t>
  </si>
  <si>
    <t>Lintel beam</t>
  </si>
  <si>
    <t xml:space="preserve">Ring </t>
  </si>
  <si>
    <t>7*7</t>
  </si>
  <si>
    <t>6.16</t>
  </si>
  <si>
    <t>(6.16) Concrete and RCC Work D REINFORCED CEMENT CONCRETE Reinforced cement concrete work in beams, suspended floors, roofs having slope up to 15� landings, balconies, shelves, chajjas, lintels, bands, plain window sills, staircases and spiral stair cases above plinth level up to floor four level, excluding the cost of centering, shuttering, finishing and reinforcement with 1:1.5:3 (1 cement : 1.5 coarse sand(zone-III) : 3 graded stone aggregate 20 mm nominal size).</t>
  </si>
  <si>
    <t>Slab</t>
  </si>
  <si>
    <t xml:space="preserve">take 120 kg per cum </t>
  </si>
  <si>
    <t>KG</t>
  </si>
  <si>
    <t>Total (KG)</t>
  </si>
  <si>
    <t>6.30.3</t>
  </si>
  <si>
    <r>
      <t xml:space="preserve">(6.30) Concrete and RCC Work I CENTRING AND SHUTTERING (FORM WORK) Centering and shuttering including strutting, propping etc. and removal of form for
</t>
    </r>
    <r>
      <rPr>
        <b/>
        <i/>
        <sz val="9"/>
        <color rgb="FF8B0000"/>
        <rFont val="Times New Roman"/>
        <family val="1"/>
      </rPr>
      <t>(6.30.3) Suspended floors, roofs, landings, balconies and access platform</t>
    </r>
  </si>
  <si>
    <t>Parapet wall</t>
  </si>
  <si>
    <t>9.11.1</t>
  </si>
  <si>
    <r>
      <t xml:space="preserve">(9.11) Hoisting and Roofing B ROOFING 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t>
    </r>
    <r>
      <rPr>
        <b/>
        <i/>
        <sz val="9"/>
        <color rgb="FF8B0000"/>
        <rFont val="Times New Roman"/>
        <family val="1"/>
      </rPr>
      <t>(9.11.1) With common burnt clay non-modular brick tile of class designation 10</t>
    </r>
  </si>
  <si>
    <t>10.1</t>
  </si>
  <si>
    <t>(10.1) Flooring and Dados CEMENT CONCRETE FLOORING Providing and laying of base course of floors consisting of 100 mm thick cement 1:8:16 and 100 mm sand or stone filling.</t>
  </si>
  <si>
    <t>11.5.3</t>
  </si>
  <si>
    <r>
      <t xml:space="preserve">(11.5) Finishing Works CEMENT PLASTER (IN FINE SAND) 12 mm cement plaster of mix :
</t>
    </r>
    <r>
      <rPr>
        <b/>
        <i/>
        <sz val="9"/>
        <color rgb="FF8B0000"/>
        <rFont val="Times New Roman"/>
        <family val="1"/>
      </rPr>
      <t>(11.5.3) 1:4 (1 cement: 4 fine sand)</t>
    </r>
  </si>
  <si>
    <t>Main building</t>
  </si>
  <si>
    <t>outer</t>
  </si>
  <si>
    <t>.</t>
  </si>
  <si>
    <t>-</t>
  </si>
  <si>
    <t>11.6.1</t>
  </si>
  <si>
    <r>
      <t xml:space="preserve">(11.6) Finishing Works CEMENT PLASTER (IN FINE SAND) 15 mm cement plaster on the rough side of single or half brick wall of mix :
</t>
    </r>
    <r>
      <rPr>
        <b/>
        <i/>
        <sz val="9"/>
        <color rgb="FF8B0000"/>
        <rFont val="Times New Roman"/>
        <family val="1"/>
      </rPr>
      <t>(11.6.1) 1:4 (1 cement: 4 fine sand)</t>
    </r>
  </si>
  <si>
    <t>10.8</t>
  </si>
  <si>
    <t>(10.8) Flooring and Dados CEMENT CONCRETE FLOORING Providing and laying of conglomerate floor 40mm thick cement concrete topping 1:2:4</t>
  </si>
  <si>
    <t>10.62</t>
  </si>
  <si>
    <t>(10.62) Flooring and Dados CERAMIC GLAZED TILES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</si>
  <si>
    <t xml:space="preserve">Did </t>
  </si>
  <si>
    <t>10.63.2</t>
  </si>
  <si>
    <r>
      <t xml:space="preserve">(10.63) Flooring and Dados VITRIFIED FLOOR TILES 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t>
    </r>
    <r>
      <rPr>
        <b/>
        <i/>
        <sz val="9"/>
        <color rgb="FF8B0000"/>
        <rFont val="Times New Roman"/>
        <family val="1"/>
      </rPr>
      <t>(10.63.2) Size of Tile 600x600 mm</t>
    </r>
  </si>
  <si>
    <t>11.58</t>
  </si>
  <si>
    <t>(11.58) Finishing Works INTERIOR FINISHING Providing and applying two coats white cement based putty of approved brand and manufacturer, over plastered surface and grinding the surface smooth with sand paper to get en even and smooth finish including cost and carriage of all material , labour charges, scaffolding, sundries etc. complete</t>
  </si>
  <si>
    <t>qty same as plaster 12mm</t>
  </si>
  <si>
    <t>11.93.1</t>
  </si>
  <si>
    <r>
      <t xml:space="preserve">(11.93) Finishing Works EXTERIOR FINISHING WALL AND ROOF SURFACES Finishing walls with water proofing cement paint of required shade :
</t>
    </r>
    <r>
      <rPr>
        <b/>
        <i/>
        <sz val="9"/>
        <color rgb="FF8B0000"/>
        <rFont val="Times New Roman"/>
        <family val="1"/>
      </rPr>
      <t>(11.93.1) New work (Two or more coats applied @ 3.84 kg/10 sqm)</t>
    </r>
  </si>
  <si>
    <t>9.17.1</t>
  </si>
  <si>
    <r>
      <t xml:space="preserve">(9.17) Hoisting and Roofing B ROOFING Providing gola 75x75 mm in cement concrete 1:2:4 (1 cement : 2 coarse sand : 4 stone aggregate 10 mm and down gauge), including finishing with cement mortar 1:3 (1 cement : 3 fine sand) as per standard design :
</t>
    </r>
    <r>
      <rPr>
        <b/>
        <i/>
        <sz val="9"/>
        <color rgb="FF8B0000"/>
        <rFont val="Times New Roman"/>
        <family val="1"/>
      </rPr>
      <t>(9.17.1) In 75x75 mm deep chase</t>
    </r>
  </si>
  <si>
    <t>9.18</t>
  </si>
  <si>
    <t>(9.18) Hoisting and Roofing B ROOFING 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t>
  </si>
  <si>
    <t>Total (Nos)</t>
  </si>
  <si>
    <t>Total (nos)</t>
  </si>
  <si>
    <t>Each</t>
  </si>
  <si>
    <t>9.57.2</t>
  </si>
  <si>
    <r>
      <t xml:space="preserve">(9.57) Hoisting and Roofing RAIN WATER SPOUTS AND PIPES Providing and fixing on wall face Unplasticised Rigid PVC rain water pipes conforming to IS : 13592 Type A, including jointing with seal ring conforming to IS : 5382, leaving 10 mm gap for thermal expansion, (i) Single socketed pipes.
</t>
    </r>
    <r>
      <rPr>
        <b/>
        <i/>
        <sz val="9"/>
        <color rgb="FF8B0000"/>
        <rFont val="Times New Roman"/>
        <family val="1"/>
      </rPr>
      <t>(9.57.2) 110 mm diameter</t>
    </r>
  </si>
  <si>
    <t>mtr</t>
  </si>
  <si>
    <t>Total (mtr)</t>
  </si>
  <si>
    <t>9.58.5.2</t>
  </si>
  <si>
    <r>
      <t xml:space="preserve">(9.58) Hoisting and Roofing RAIN WATER SPOUTS AND PIPES Providing and fixing on wall face Unplasticised - PVC moulded fittings/ accessories for Unplasticised Rigid PVC rain water pipes conforming to IS : 13592 Type A, including jointing with seal ring conforming to IS : 5382, leaving 10 mm gap for thermal expansion.
</t>
    </r>
    <r>
      <rPr>
        <b/>
        <i/>
        <sz val="8"/>
        <color rgb="FF800080"/>
        <rFont val="Times New Roman"/>
        <family val="1"/>
      </rPr>
      <t>(9.58.5.2) Bend 87.5�  110 mm bend</t>
    </r>
  </si>
  <si>
    <t>9.59.2</t>
  </si>
  <si>
    <r>
      <t xml:space="preserve">(9.59) Hoisting and Roofing RAIN WATER SPOUTS AND PIPES 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t>
    </r>
    <r>
      <rPr>
        <b/>
        <i/>
        <sz val="9"/>
        <color rgb="FF8B0000"/>
        <rFont val="Times New Roman"/>
        <family val="1"/>
      </rPr>
      <t>(9.59.2) 110 mm</t>
    </r>
  </si>
  <si>
    <t>12.36.1</t>
  </si>
  <si>
    <r>
      <t xml:space="preserve">(12.36) Wood Work, PVC and Aluminum Door and Windows FLUSH DOOR SHUTTERS 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t>
    </r>
    <r>
      <rPr>
        <b/>
        <i/>
        <sz val="9"/>
        <color rgb="FF8B0000"/>
        <rFont val="Times New Roman"/>
        <family val="1"/>
      </rPr>
      <t>(12.36.1) 35 mm thick including ISI marked Stainless Steel butt hinges with necessary screws</t>
    </r>
  </si>
  <si>
    <t>12.98.2</t>
  </si>
  <si>
    <r>
      <t xml:space="preserve">(12.98) Wood Work, PVC and Aluminum Door and Windows ANODISED ALUMINIUM FITTINGS (ALL FITTINGS SHALL BE ISI MARKED) Providing and fixing aluminium sliding door bolts, ISI marked anodised (anodic coating not less than grade AC 10 as per IS : 1868), transparent or dyed to required colour or shade, with nuts and screws etc. complete :
</t>
    </r>
    <r>
      <rPr>
        <b/>
        <i/>
        <sz val="9"/>
        <color rgb="FF8B0000"/>
        <rFont val="Times New Roman"/>
        <family val="1"/>
      </rPr>
      <t>(12.98.2) 250x16 mm</t>
    </r>
  </si>
  <si>
    <t>nos</t>
  </si>
  <si>
    <t>12.99.4</t>
  </si>
  <si>
    <r>
      <t xml:space="preserve">(12.99) Wood Work, PVC and Aluminum Door and Windows ANODISED ALUMINIUM FITTINGS (ALL FITTINGS SHALL BE ISI MARKED) Providing and fixing aluminium tower bolts, ISI marked, anodised (anodic coating not less than grade AC 10 as per IS : 1868 ) transparent or dyed to required colour or shade, with necessary screws etc. complete :
</t>
    </r>
    <r>
      <rPr>
        <b/>
        <i/>
        <sz val="9"/>
        <color rgb="FF8B0000"/>
        <rFont val="Times New Roman"/>
        <family val="1"/>
      </rPr>
      <t>(12.99.4) 150x10 mm</t>
    </r>
  </si>
  <si>
    <t>11.76</t>
  </si>
  <si>
    <t>(11.76) Finishing Works INTERIOR FINISHING Preparation of ply wood surface for painting including sand papering the surface and applying filling with approved quality filler consisting of white lead, linseed oil, varnish and chalk mitti including finishing the surface to required finish complete.</t>
  </si>
  <si>
    <t>For both side solid door and zali door take 1.6 each side</t>
  </si>
  <si>
    <t>11.77</t>
  </si>
  <si>
    <t>(11.77) Finishing Works INTERIOR FINISHING Applying pink primer or aluminium priming coat on wood work including preparation of surface, Knotting and stopping etc.</t>
  </si>
  <si>
    <t>Area same as surface preparation</t>
  </si>
  <si>
    <t>11.78</t>
  </si>
  <si>
    <t>(11.78) Finishing Works INTERIOR FINISHING Painting two coats excluding priming coat with synthetic enamel paint in all shades on new wood work or metallic or plastered or concrete surfaces to give an even shade.</t>
  </si>
  <si>
    <t>area same as priming coat</t>
  </si>
  <si>
    <t>22.1.3</t>
  </si>
  <si>
    <r>
      <t xml:space="preserve">(22.1) Sanitary Installations WASH BASINS, KITCHEN SINKS AND HARDWARES Providing and fixing wash basin with C.I. brackets, 15 mm C.P. brass pillar taps, 32 mm C.P. brass waste of standard pattern, including painting of fittings and brackets, cutting and making good the walls wherever require:
</t>
    </r>
    <r>
      <rPr>
        <b/>
        <i/>
        <sz val="9"/>
        <color rgb="FF8B0000"/>
        <rFont val="Times New Roman"/>
        <family val="1"/>
      </rPr>
      <t>(22.1.3) White vitreous chinaware Wash basin size 550x400 mm with a pair of 15 mm C.P. brass pillar taps</t>
    </r>
  </si>
  <si>
    <t>22.22.1</t>
  </si>
  <si>
    <r>
      <t xml:space="preserve">(22.22) Sanitary Installations WCs, URINALS AND URINAL PARTITIONS 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t>
    </r>
    <r>
      <rPr>
        <b/>
        <i/>
        <sz val="9"/>
        <color rgb="FF8B0000"/>
        <rFont val="Times New Roman"/>
        <family val="1"/>
      </rPr>
      <t>(22.22.1) White vitreous chinaware Orissa pattern W.C. pan of size 580x440 mm with integral type foot rests</t>
    </r>
  </si>
  <si>
    <t>22.24.1</t>
  </si>
  <si>
    <r>
      <t xml:space="preserve">(22.24) Sanitary Installations WCs, URINALS AND URINAL PARTITIONS Providing and fixing white vitreous chinaware pedestal type water closet (European type) with seat and lid, 10 litre low level white vitreous chinaware flushing cistern and C.P. flush bend with fittings and C.I. brackets, 40 mm flush bend, overflow arrangement with specials of standard make and mosquito proof coupling of approved municipal design complete, including painting of fittings and brackets, cutting and making good the walls and floors wherever required :
</t>
    </r>
    <r>
      <rPr>
        <b/>
        <i/>
        <sz val="9"/>
        <color rgb="FF8B0000"/>
        <rFont val="Times New Roman"/>
        <family val="1"/>
      </rPr>
      <t>(22.24.1) W.C. pan with ISI marked white solid plastic seat and lid</t>
    </r>
  </si>
  <si>
    <t>22.38</t>
  </si>
  <si>
    <t>(22.38) Sanitary Installations WCs, URINALS AND URINAL PARTITIONS Providing and fixing 8 mm dia C.P. / S.S. Jet with flexible tube up to 1 metre long with S.S. triangular plate to European type W.C. of quality and make as approved by Engineer - in - charge.</t>
  </si>
  <si>
    <t>22.25.2</t>
  </si>
  <si>
    <r>
      <t xml:space="preserve">(22.25) Sanitary Installations WCs, URINALS AND URINAL PARTITIONS Providing and fixing white vitreous chinaware flat back or wall corner type lipped front urinal basin of 430x260x350 mm and 340x410x265 mm sizes respectively with flushing cistern with standard flush pipe and C.P. brass spreaders with brass unions and G.I clamps complete, including painting of fittings and brackets, cutting and making good the walls and floors wherever required :
</t>
    </r>
    <r>
      <rPr>
        <b/>
        <i/>
        <sz val="9"/>
        <color rgb="FF8B0000"/>
        <rFont val="Times New Roman"/>
        <family val="1"/>
      </rPr>
      <t>(22.25.2) One urinal basin with manually operated 5 litres PVC cistern and manually operated stop cock/ angle valve</t>
    </r>
  </si>
  <si>
    <t>22.82.1</t>
  </si>
  <si>
    <r>
      <t xml:space="preserve">(22.82) Sanitary Installations SEWERAGE DISPOSAL SYSTEMS Cutting holes up to 30x30 cm in walls including making good the same:
</t>
    </r>
    <r>
      <rPr>
        <b/>
        <i/>
        <sz val="9"/>
        <color rgb="FF8B0000"/>
        <rFont val="Times New Roman"/>
        <family val="1"/>
      </rPr>
      <t>(22.82.1) With common burnt clay non-modular bricks</t>
    </r>
  </si>
  <si>
    <t>22.86.1</t>
  </si>
  <si>
    <r>
      <t xml:space="preserve">(22.86) Sanitary Installations C.P.V.C. PIPES Providing and fixing Chlorinated Polyvinyl Chloride (CPVC) pipes, having thermal stability for hot and cold water supply, including all CPVC plain and brass threaded fittings, i/c fixing the pipe with clamps at 1.00 m spacing. This includes jointing of pipes and fittings with one step CPVC solvent cement and the cost of cutting chases and making good the same including testing of joints complete as per direction of Engineer in Charge.
</t>
    </r>
    <r>
      <rPr>
        <b/>
        <i/>
        <sz val="9"/>
        <color rgb="FF8B0000"/>
        <rFont val="Times New Roman"/>
        <family val="1"/>
      </rPr>
      <t>(22.86.1) 15 mm nominal outer dia Pipes</t>
    </r>
  </si>
  <si>
    <t>22.86.2</t>
  </si>
  <si>
    <r>
      <t xml:space="preserve">(22.86) Sanitary Installations C.P.V.C. PIPES Providing and fixing Chlorinated Polyvinyl Chloride (CPVC) pipes, having thermal stability for hot and cold water supply, including all CPVC plain and brass threaded fittings, i/c fixing the pipe with clamps at 1.00 m spacing. This includes jointing of pipes and fittings with one step CPVC solvent cement and the cost of cutting chases and making good the same including testing of joints complete as per direction of Engineer in Charge.
</t>
    </r>
    <r>
      <rPr>
        <b/>
        <i/>
        <sz val="9"/>
        <color rgb="FF8B0000"/>
        <rFont val="Times New Roman"/>
        <family val="1"/>
      </rPr>
      <t>(22.86.2) 20 mm nominal outer dia Pipes</t>
    </r>
  </si>
  <si>
    <t>22.181</t>
  </si>
  <si>
    <t>(22.181) Sanitary Installations LOFT AND TERRACE WATER TANKS Providing and placing on terrace (at all floor levels) polyethylene water storage tank, IS : 12701 marked, with cover and suitable locking arrangement and making necessary holes for inlet, outlet and overflow pipes but without fittings and the base support for tank.</t>
  </si>
  <si>
    <t>Liter</t>
  </si>
  <si>
    <t>Total (Liter)</t>
  </si>
  <si>
    <t>Total (liter)</t>
  </si>
  <si>
    <t>Litre</t>
  </si>
  <si>
    <t>22.222.2.2</t>
  </si>
  <si>
    <r>
      <t xml:space="preserve">(22.222) Sanitary Installations HDPE pipes for Drainage Providing and fixing in position singel socket SWR UPVC soil waste or antisyphonage pipes as per IS 13592 of E.D.C manufacture or of any other reputed firm including cutting, jointing, wastage, but excluding cost of jointing.
</t>
    </r>
    <r>
      <rPr>
        <b/>
        <i/>
        <sz val="8"/>
        <color rgb="FF800080"/>
        <rFont val="Times New Roman"/>
        <family val="1"/>
      </rPr>
      <t>(22.222.2.2) Single Socket Type B  110mm o/d SWR UPVC pipe lines laid complete</t>
    </r>
  </si>
  <si>
    <t>22.96.1</t>
  </si>
  <si>
    <r>
      <t xml:space="preserve">(22.96) Sanitary Installations BRASS FITTINGS Providing and fixing brass bib cock of approved quality :
</t>
    </r>
    <r>
      <rPr>
        <b/>
        <i/>
        <sz val="9"/>
        <color rgb="FF8B0000"/>
        <rFont val="Times New Roman"/>
        <family val="1"/>
      </rPr>
      <t>(22.96.1) 15 mm nominal bore</t>
    </r>
  </si>
  <si>
    <t>each</t>
  </si>
  <si>
    <t>Total (each)</t>
  </si>
  <si>
    <t>End</t>
  </si>
  <si>
    <t>Total</t>
  </si>
  <si>
    <t>Add 18% GST</t>
  </si>
  <si>
    <t>Total Amount</t>
  </si>
  <si>
    <t>Add 10% esclanation</t>
  </si>
  <si>
    <t>Add 1% Contigency</t>
  </si>
  <si>
    <t>GRAND TOTAL</t>
  </si>
  <si>
    <t xml:space="preserve">Say Rs. </t>
  </si>
  <si>
    <t>Material</t>
  </si>
  <si>
    <t>Gst</t>
  </si>
  <si>
    <t>Amount + Gst</t>
  </si>
  <si>
    <t>STEEL</t>
  </si>
  <si>
    <t>φ8mm Rebar (Ring (7*7), 7*7)</t>
  </si>
  <si>
    <t>φ12mm Rebar (Plinth beam, Lintel beam)</t>
  </si>
  <si>
    <t>Cement (Bags)</t>
  </si>
  <si>
    <t>Bags</t>
  </si>
  <si>
    <t>Tibba Sand (Cft)</t>
  </si>
  <si>
    <t>Cft</t>
  </si>
  <si>
    <t>Jamuna Sand (Cft)</t>
  </si>
  <si>
    <t>Cresher (Cft)</t>
  </si>
  <si>
    <t>Aggregate 10mm (Cft)</t>
  </si>
  <si>
    <t>Stone Metal 40mm (Cft)</t>
  </si>
  <si>
    <t>Stone Aggregate 20mm (Cft)</t>
  </si>
  <si>
    <t>Brick Ballast (Cft)</t>
  </si>
  <si>
    <t>Bricks Non Modular (Nos)</t>
  </si>
  <si>
    <t>White Cement Based Putty (Kg)</t>
  </si>
  <si>
    <t>Steel Shuttering (Sft)</t>
  </si>
  <si>
    <t>Sft</t>
  </si>
  <si>
    <t>Brick Tiles (Nos)</t>
  </si>
  <si>
    <t>Vitrified Tile 600*600mm (Sft)</t>
  </si>
  <si>
    <t>Ceramic Glazed Tile</t>
  </si>
  <si>
    <t>HSR</t>
  </si>
  <si>
    <t>Synthetic Enamel Paint (Litre)</t>
  </si>
  <si>
    <t>Water Proofing Cement Paint/Snowcem (Kg)</t>
  </si>
  <si>
    <t>Flush door 35mm thick with both side mica/vinerring</t>
  </si>
  <si>
    <t>Chowkat Profile E (Size 165*60*40) Double Pattam (Rft)</t>
  </si>
  <si>
    <t>Iron Grill (Kg)</t>
  </si>
  <si>
    <t>Pvc Pipe Clips 110mm (Each)</t>
  </si>
  <si>
    <t>Pvc Rain Water Pipe 110mm (Meter)</t>
  </si>
  <si>
    <t>meter</t>
  </si>
  <si>
    <t>Bend 110mm Dia</t>
  </si>
  <si>
    <t>CPVC pipe 15mm dia</t>
  </si>
  <si>
    <t>CPVC pipe 20mm dia</t>
  </si>
  <si>
    <t>water storage tanki</t>
  </si>
  <si>
    <t>Chinaware Orrisa pan Indian WC with P/S trap</t>
  </si>
  <si>
    <t>Earth /Clay (Cft)</t>
  </si>
  <si>
    <t>Mud Mortar (Cft)</t>
  </si>
  <si>
    <t>4.12.1 :- All kinds of soil</t>
  </si>
  <si>
    <t>7.28.2 :- Cement mortar 1:4 (1 cement :4 coarse sand</t>
  </si>
  <si>
    <t>12.98.2 :- 250x16 mm</t>
  </si>
  <si>
    <t>12.99.4 :- 150x10 mm</t>
  </si>
  <si>
    <t>11.76 :- Finishing Works INTERIOR FINISHING Preparation of ply wood surface for painting i</t>
  </si>
  <si>
    <t>11.77 :- Finishing Works INTERIOR FINISHING Applying pink primer or aluminium priming coat</t>
  </si>
  <si>
    <t>NS</t>
  </si>
  <si>
    <t>22.1.3 :- White vitreous chinaware Wash basin size 550x400 mm with a pair of 15 mm C.P. br</t>
  </si>
  <si>
    <t>22.24.1 :- W.C. pan with ISI marked white solid plastic seat and lid</t>
  </si>
  <si>
    <t xml:space="preserve">22.38 :- Sanitary Installations WCs, URINALS AND URINAL PARTITIONS Providing and fixing 8 </t>
  </si>
  <si>
    <t>22.25.2 :- One urinal basin with manually operated 5 litres PVC cistern and manually opera</t>
  </si>
  <si>
    <t>22.82.1 :- With common burnt clay non-modular bricks</t>
  </si>
  <si>
    <t>22.222.2.2 :- Single Socket Type B  110mm o/d SWR UPVC pipe lines laid complete</t>
  </si>
  <si>
    <t>22.96.1 :- 15 mm nominal bore</t>
  </si>
  <si>
    <t>Total Amount for Materials</t>
  </si>
  <si>
    <t>Labour</t>
  </si>
  <si>
    <t>Grand Total</t>
  </si>
  <si>
    <t xml:space="preserve">Grand Total (including GST)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</si>
</sst>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quot;&quot;"/>
    <numFmt numFmtId="166" formatCode="_(* #,##0_);_(* \(#,##0\);_(* &quot;-&quot;??_);_(@_)"/>
    <numFmt numFmtId="167" formatCode="#,##0.000"/>
  </numFmts>
  <fonts count="26" x14ac:knownFonts="1">
    <font>
      <sz val="11"/>
      <color theme="1"/>
      <name val="Calibri"/>
      <family val="2"/>
      <scheme val="minor"/>
    </font>
    <font>
      <b/>
      <sz val="11"/>
      <color theme="1"/>
      <name val="Calibri"/>
      <family val="2"/>
      <scheme val="minor"/>
    </font>
    <font>
      <b/>
      <sz val="20"/>
      <name val="Times New Roman"/>
      <family val="1"/>
    </font>
    <font>
      <sz val="12"/>
      <name val="Times New Roman"/>
      <family val="1"/>
    </font>
    <font>
      <b/>
      <sz val="14"/>
      <name val="Times New Roman"/>
      <family val="1"/>
    </font>
    <font>
      <b/>
      <sz val="12"/>
      <name val="Times New Roman"/>
      <family val="1"/>
    </font>
    <font>
      <b/>
      <i/>
      <sz val="10"/>
      <color rgb="FF006400"/>
      <name val="Times New Roman"/>
      <family val="1"/>
    </font>
    <font>
      <b/>
      <i/>
      <sz val="9"/>
      <color rgb="FF8B0000"/>
      <name val="Times New Roman"/>
      <family val="1"/>
    </font>
    <font>
      <b/>
      <i/>
      <sz val="12"/>
      <color rgb="FFFF0000"/>
      <name val="Times New Roman"/>
      <family val="1"/>
    </font>
    <font>
      <b/>
      <sz val="12"/>
      <color rgb="FF00B050"/>
      <name val="Times New Roman"/>
      <family val="1"/>
    </font>
    <font>
      <b/>
      <sz val="12"/>
      <color rgb="FFFF0000"/>
      <name val="Times New Roman"/>
      <family val="1"/>
    </font>
    <font>
      <b/>
      <sz val="12"/>
      <color theme="1"/>
      <name val="Times New Roman"/>
      <family val="1"/>
    </font>
    <font>
      <b/>
      <i/>
      <sz val="8"/>
      <color rgb="FF800080"/>
      <name val="Times New Roman"/>
      <family val="1"/>
    </font>
    <font>
      <sz val="12"/>
      <color rgb="FFFF0000"/>
      <name val="Times New Roman"/>
      <family val="1"/>
    </font>
    <font>
      <sz val="11"/>
      <name val="Times New Roman"/>
      <family val="1"/>
    </font>
    <font>
      <b/>
      <sz val="11"/>
      <name val="Times New Roman"/>
      <family val="1"/>
    </font>
    <font>
      <sz val="10"/>
      <name val="Arial"/>
      <family val="2"/>
    </font>
    <font>
      <b/>
      <sz val="11"/>
      <color rgb="FF000000"/>
      <name val="Times New Roman"/>
      <family val="1"/>
    </font>
    <font>
      <b/>
      <sz val="11"/>
      <color rgb="FF000000"/>
      <name val="Calibri"/>
      <family val="2"/>
      <scheme val="minor"/>
    </font>
    <font>
      <b/>
      <sz val="12"/>
      <color rgb="FF000000"/>
      <name val="Times New Roman"/>
      <family val="1"/>
    </font>
    <font>
      <b/>
      <sz val="11"/>
      <color theme="1"/>
      <name val="Times New Roman"/>
      <family val="1"/>
    </font>
    <font>
      <b/>
      <i/>
      <sz val="18"/>
      <color rgb="FF000000"/>
      <name val="Times New Roman"/>
      <family val="1"/>
    </font>
    <font>
      <b/>
      <sz val="14"/>
      <color rgb="FF000000"/>
      <name val="Times New Roman"/>
      <family val="1"/>
    </font>
    <font>
      <sz val="11"/>
      <color theme="1"/>
      <name val="Times New Roman"/>
      <family val="1"/>
    </font>
    <font>
      <b/>
      <i/>
      <sz val="14"/>
      <color rgb="FF000000"/>
      <name val="Times New Roman"/>
      <family val="1"/>
    </font>
    <font>
      <b/>
      <i/>
      <sz val="12"/>
      <color rgb="FF000000"/>
      <name val="Times New Roman"/>
      <family val="1"/>
    </font>
  </fonts>
  <fills count="18">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E699"/>
        <bgColor indexed="64"/>
      </patternFill>
    </fill>
    <fill>
      <patternFill patternType="solid">
        <fgColor rgb="FFFFFFFF"/>
        <bgColor indexed="64"/>
      </patternFill>
    </fill>
    <fill>
      <patternFill patternType="solid">
        <fgColor theme="0"/>
        <bgColor indexed="64"/>
      </patternFill>
    </fill>
    <fill>
      <patternFill patternType="solid">
        <fgColor rgb="FFFFFF99"/>
        <bgColor indexed="64"/>
      </patternFill>
    </fill>
    <fill>
      <patternFill patternType="solid">
        <fgColor rgb="FFD4B9E5"/>
        <bgColor indexed="64"/>
      </patternFill>
    </fill>
    <fill>
      <patternFill patternType="solid">
        <fgColor rgb="FFE5B9CB"/>
        <bgColor indexed="64"/>
      </patternFill>
    </fill>
    <fill>
      <patternFill patternType="solid">
        <fgColor rgb="FFE5D4B9"/>
        <bgColor indexed="64"/>
      </patternFill>
    </fill>
    <fill>
      <patternFill patternType="solid">
        <fgColor rgb="FFCBE5B9"/>
        <bgColor indexed="64"/>
      </patternFill>
    </fill>
    <fill>
      <patternFill patternType="solid">
        <fgColor rgb="FFB9E5D4"/>
        <bgColor indexed="64"/>
      </patternFill>
    </fill>
    <fill>
      <patternFill patternType="solid">
        <fgColor rgb="FFB9CBE5"/>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ck">
        <color indexed="64"/>
      </bottom>
      <diagonal/>
    </border>
    <border>
      <left style="medium">
        <color auto="1"/>
      </left>
      <right style="thin">
        <color auto="1"/>
      </right>
      <top style="medium">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medium">
        <color auto="1"/>
      </right>
      <top style="medium">
        <color indexed="64"/>
      </top>
      <bottom style="thin">
        <color indexed="64"/>
      </bottom>
      <diagonal/>
    </border>
    <border diagonalUp="1">
      <left/>
      <right style="medium">
        <color auto="1"/>
      </right>
      <top/>
      <bottom/>
      <diagonal style="mediumDashDot">
        <color rgb="FF000000"/>
      </diagonal>
    </border>
    <border>
      <left style="thin">
        <color indexed="64"/>
      </left>
      <right style="medium">
        <color auto="1"/>
      </right>
      <top style="thin">
        <color indexed="64"/>
      </top>
      <bottom style="thin">
        <color indexed="64"/>
      </bottom>
      <diagonal/>
    </border>
    <border diagonalDown="1">
      <left/>
      <right style="medium">
        <color auto="1"/>
      </right>
      <top/>
      <bottom/>
      <diagonal style="mediumDashDot">
        <color rgb="FF000000"/>
      </diagonal>
    </border>
    <border>
      <left style="mediumDashDot">
        <color rgb="FF000000"/>
      </left>
      <right style="medium">
        <color auto="1"/>
      </right>
      <top/>
      <bottom/>
      <diagonal/>
    </border>
    <border>
      <left style="medium">
        <color auto="1"/>
      </left>
      <right/>
      <top/>
      <bottom style="thin">
        <color indexed="64"/>
      </bottom>
      <diagonal/>
    </border>
    <border>
      <left/>
      <right style="medium">
        <color auto="1"/>
      </right>
      <top/>
      <bottom style="thin">
        <color indexed="64"/>
      </bottom>
      <diagonal/>
    </border>
    <border>
      <left style="medium">
        <color auto="1"/>
      </left>
      <right/>
      <top style="thin">
        <color indexed="64"/>
      </top>
      <bottom style="thin">
        <color indexed="64"/>
      </bottom>
      <diagonal/>
    </border>
    <border>
      <left/>
      <right style="medium">
        <color auto="1"/>
      </right>
      <top style="thin">
        <color indexed="64"/>
      </top>
      <bottom style="thin">
        <color indexed="64"/>
      </bottom>
      <diagonal/>
    </border>
    <border>
      <left style="medium">
        <color auto="1"/>
      </left>
      <right/>
      <top style="thin">
        <color indexed="64"/>
      </top>
      <bottom style="medium">
        <color indexed="64"/>
      </bottom>
      <diagonal/>
    </border>
    <border>
      <left/>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right style="medium">
        <color auto="1"/>
      </right>
      <top style="thin">
        <color indexed="64"/>
      </top>
      <bottom style="medium">
        <color indexed="64"/>
      </bottom>
      <diagonal/>
    </border>
  </borders>
  <cellStyleXfs count="2">
    <xf numFmtId="0" fontId="0" fillId="0" borderId="0"/>
    <xf numFmtId="0" fontId="16" fillId="0" borderId="0"/>
  </cellStyleXfs>
  <cellXfs count="351">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Protection="1">
      <protection locked="0"/>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0" borderId="7" xfId="0" applyFont="1" applyBorder="1" applyAlignment="1">
      <alignment horizontal="center" vertical="center" wrapText="1"/>
    </xf>
    <xf numFmtId="49" fontId="5" fillId="0" borderId="7" xfId="0" applyNumberFormat="1" applyFont="1" applyBorder="1" applyAlignment="1">
      <alignment horizontal="center" vertical="center" wrapText="1"/>
    </xf>
    <xf numFmtId="2" fontId="4" fillId="0" borderId="7" xfId="0" applyNumberFormat="1" applyFont="1" applyBorder="1" applyAlignment="1">
      <alignment horizontal="center" vertical="center" wrapText="1"/>
    </xf>
    <xf numFmtId="1" fontId="4" fillId="0" borderId="8" xfId="0" applyNumberFormat="1" applyFont="1" applyBorder="1" applyAlignment="1">
      <alignment horizontal="center" vertical="center" wrapText="1"/>
    </xf>
    <xf numFmtId="0" fontId="4" fillId="0" borderId="0" xfId="0" applyFont="1" applyProtection="1">
      <protection locked="0"/>
    </xf>
    <xf numFmtId="1" fontId="5" fillId="0" borderId="9" xfId="0" applyNumberFormat="1" applyFont="1" applyBorder="1" applyAlignment="1">
      <alignment horizontal="center" vertical="center"/>
    </xf>
    <xf numFmtId="49" fontId="5" fillId="0" borderId="9" xfId="0" applyNumberFormat="1" applyFont="1" applyBorder="1" applyAlignment="1">
      <alignment horizontal="center" vertical="center"/>
    </xf>
    <xf numFmtId="0" fontId="6" fillId="0" borderId="9" xfId="0" applyFont="1" applyBorder="1" applyAlignment="1">
      <alignment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2" fontId="3" fillId="0" borderId="2" xfId="0" applyNumberFormat="1" applyFont="1" applyBorder="1" applyAlignment="1" applyProtection="1">
      <alignment horizontal="center" vertical="center"/>
      <protection locked="0"/>
    </xf>
    <xf numFmtId="0" fontId="5" fillId="0" borderId="2" xfId="0" applyFont="1" applyBorder="1" applyAlignment="1" applyProtection="1">
      <alignment horizontal="left" vertical="center"/>
      <protection locked="0"/>
    </xf>
    <xf numFmtId="0" fontId="3" fillId="0" borderId="2" xfId="0" applyFont="1" applyBorder="1" applyAlignment="1" applyProtection="1">
      <alignment horizontal="center" vertical="center" wrapText="1"/>
      <protection locked="0"/>
    </xf>
    <xf numFmtId="0" fontId="5" fillId="0" borderId="2" xfId="0" applyFont="1" applyBorder="1" applyAlignment="1" applyProtection="1">
      <alignment horizontal="right" vertical="center"/>
      <protection locked="0"/>
    </xf>
    <xf numFmtId="1" fontId="5" fillId="0" borderId="10" xfId="0" applyNumberFormat="1" applyFont="1" applyBorder="1" applyAlignment="1" applyProtection="1">
      <alignment horizontal="center" vertical="center"/>
      <protection locked="0"/>
    </xf>
    <xf numFmtId="1" fontId="5" fillId="0" borderId="11" xfId="0" applyNumberFormat="1" applyFont="1" applyBorder="1" applyAlignment="1">
      <alignment horizontal="center" vertical="center"/>
    </xf>
    <xf numFmtId="0" fontId="5" fillId="0" borderId="9" xfId="0" applyFont="1" applyBorder="1" applyAlignment="1">
      <alignment horizontal="center" vertical="center"/>
    </xf>
    <xf numFmtId="0" fontId="3" fillId="0" borderId="9" xfId="0" applyFont="1" applyBorder="1" applyAlignment="1">
      <alignment vertical="center"/>
    </xf>
    <xf numFmtId="0" fontId="3" fillId="0" borderId="9" xfId="0" applyFont="1" applyBorder="1" applyAlignment="1" applyProtection="1">
      <alignment horizontal="center" vertical="center"/>
      <protection locked="0"/>
    </xf>
    <xf numFmtId="2" fontId="3" fillId="0" borderId="9" xfId="0" applyNumberFormat="1" applyFont="1" applyBorder="1" applyAlignment="1" applyProtection="1">
      <alignment horizontal="center" vertical="center"/>
      <protection locked="0"/>
    </xf>
    <xf numFmtId="164" fontId="3" fillId="2" borderId="9" xfId="0" applyNumberFormat="1" applyFont="1" applyFill="1" applyBorder="1" applyAlignment="1">
      <alignment horizontal="center" vertical="center"/>
    </xf>
    <xf numFmtId="0" fontId="5" fillId="0" borderId="9" xfId="0" applyFont="1" applyBorder="1" applyAlignment="1" applyProtection="1">
      <alignment horizontal="left" vertical="center"/>
      <protection locked="0"/>
    </xf>
    <xf numFmtId="0" fontId="3" fillId="3" borderId="9"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right" vertical="center"/>
      <protection locked="0"/>
    </xf>
    <xf numFmtId="1" fontId="5" fillId="0" borderId="12" xfId="0" applyNumberFormat="1" applyFont="1" applyBorder="1" applyAlignment="1" applyProtection="1">
      <alignment horizontal="center" vertical="center"/>
      <protection locked="0"/>
    </xf>
    <xf numFmtId="1" fontId="5" fillId="5" borderId="11" xfId="0" applyNumberFormat="1" applyFont="1" applyFill="1" applyBorder="1" applyAlignment="1">
      <alignment horizontal="center" vertical="center"/>
    </xf>
    <xf numFmtId="0" fontId="5" fillId="5" borderId="9" xfId="0" applyFont="1" applyFill="1" applyBorder="1" applyAlignment="1">
      <alignment horizontal="center" vertical="center"/>
    </xf>
    <xf numFmtId="0" fontId="5" fillId="5" borderId="9" xfId="0" applyFont="1" applyFill="1" applyBorder="1" applyAlignment="1">
      <alignment vertical="center"/>
    </xf>
    <xf numFmtId="0" fontId="5" fillId="5" borderId="9" xfId="0" applyFont="1" applyFill="1" applyBorder="1" applyAlignment="1" applyProtection="1">
      <alignment horizontal="center" vertical="center"/>
      <protection locked="0"/>
    </xf>
    <xf numFmtId="2" fontId="5" fillId="5" borderId="9" xfId="0" applyNumberFormat="1" applyFont="1" applyFill="1" applyBorder="1" applyAlignment="1">
      <alignment horizontal="center" vertical="center"/>
    </xf>
    <xf numFmtId="2" fontId="5" fillId="5" borderId="9" xfId="0" applyNumberFormat="1" applyFont="1" applyFill="1" applyBorder="1" applyAlignment="1">
      <alignment horizontal="center" vertical="center"/>
    </xf>
    <xf numFmtId="0" fontId="5" fillId="5" borderId="9" xfId="0" applyFont="1" applyFill="1" applyBorder="1" applyAlignment="1" applyProtection="1">
      <alignment horizontal="left" vertical="center"/>
      <protection locked="0"/>
    </xf>
    <xf numFmtId="0" fontId="5" fillId="5" borderId="9" xfId="0" applyFont="1" applyFill="1" applyBorder="1" applyAlignment="1" applyProtection="1">
      <alignment horizontal="center" vertical="center" wrapText="1"/>
      <protection locked="0"/>
    </xf>
    <xf numFmtId="165" fontId="5" fillId="5" borderId="9" xfId="0" applyNumberFormat="1" applyFont="1" applyFill="1" applyBorder="1" applyAlignment="1">
      <alignment horizontal="right" vertical="center"/>
    </xf>
    <xf numFmtId="1" fontId="5" fillId="5" borderId="12" xfId="0" applyNumberFormat="1" applyFont="1" applyFill="1" applyBorder="1" applyAlignment="1" applyProtection="1">
      <alignment horizontal="center" vertical="center"/>
      <protection locked="0"/>
    </xf>
    <xf numFmtId="1" fontId="5" fillId="6" borderId="9" xfId="0" applyNumberFormat="1" applyFont="1" applyFill="1" applyBorder="1" applyAlignment="1">
      <alignment horizontal="center" vertical="center"/>
    </xf>
    <xf numFmtId="0" fontId="5" fillId="6" borderId="9" xfId="0" applyFont="1" applyFill="1" applyBorder="1" applyAlignment="1">
      <alignment horizontal="center" vertical="center"/>
    </xf>
    <xf numFmtId="0" fontId="5" fillId="6" borderId="9" xfId="0" applyFont="1" applyFill="1" applyBorder="1" applyAlignment="1">
      <alignment vertical="center"/>
    </xf>
    <xf numFmtId="0" fontId="5" fillId="6" borderId="9" xfId="0" applyFont="1" applyFill="1" applyBorder="1" applyAlignment="1" applyProtection="1">
      <alignment horizontal="center" vertical="center"/>
      <protection locked="0"/>
    </xf>
    <xf numFmtId="0" fontId="5" fillId="6" borderId="9" xfId="0" applyFont="1" applyFill="1" applyBorder="1" applyAlignment="1">
      <alignment horizontal="center" vertical="center"/>
    </xf>
    <xf numFmtId="164" fontId="5" fillId="6" borderId="9" xfId="0" applyNumberFormat="1" applyFont="1" applyFill="1" applyBorder="1" applyAlignment="1">
      <alignment horizontal="center" vertical="center"/>
    </xf>
    <xf numFmtId="0" fontId="5" fillId="6" borderId="9" xfId="0" applyFont="1" applyFill="1" applyBorder="1" applyAlignment="1" applyProtection="1">
      <alignment horizontal="left" vertical="center" wrapText="1"/>
      <protection locked="0"/>
    </xf>
    <xf numFmtId="0" fontId="5" fillId="6" borderId="9" xfId="0" applyFont="1" applyFill="1" applyBorder="1" applyAlignment="1" applyProtection="1">
      <alignment horizontal="center" vertical="center" wrapText="1"/>
      <protection locked="0"/>
    </xf>
    <xf numFmtId="0" fontId="5" fillId="6" borderId="9" xfId="0" applyFont="1" applyFill="1" applyBorder="1" applyAlignment="1">
      <alignment horizontal="right" vertical="center"/>
    </xf>
    <xf numFmtId="166" fontId="5" fillId="6" borderId="9" xfId="0" applyNumberFormat="1" applyFont="1" applyFill="1" applyBorder="1" applyAlignment="1">
      <alignment horizontal="center" vertical="center"/>
    </xf>
    <xf numFmtId="1" fontId="5" fillId="7" borderId="1" xfId="0" applyNumberFormat="1" applyFont="1" applyFill="1" applyBorder="1" applyAlignment="1">
      <alignment horizontal="center" vertical="center"/>
    </xf>
    <xf numFmtId="0" fontId="5" fillId="7" borderId="2" xfId="0" applyFont="1" applyFill="1" applyBorder="1" applyAlignment="1">
      <alignment horizontal="center" vertical="center"/>
    </xf>
    <xf numFmtId="0" fontId="3" fillId="7" borderId="2" xfId="0" applyFont="1" applyFill="1" applyBorder="1" applyAlignment="1">
      <alignment vertical="center"/>
    </xf>
    <xf numFmtId="0" fontId="3" fillId="7" borderId="2" xfId="0" applyFont="1" applyFill="1" applyBorder="1" applyAlignment="1" applyProtection="1">
      <alignment horizontal="center" vertical="center"/>
      <protection locked="0"/>
    </xf>
    <xf numFmtId="2" fontId="3" fillId="7" borderId="2" xfId="0" applyNumberFormat="1" applyFont="1" applyFill="1" applyBorder="1" applyAlignment="1" applyProtection="1">
      <alignment horizontal="center" vertical="center"/>
      <protection locked="0"/>
    </xf>
    <xf numFmtId="0" fontId="5" fillId="7" borderId="2" xfId="0" applyFont="1" applyFill="1" applyBorder="1" applyAlignment="1" applyProtection="1">
      <alignment horizontal="left" vertical="center"/>
      <protection locked="0"/>
    </xf>
    <xf numFmtId="0" fontId="3" fillId="7" borderId="2" xfId="0" applyFont="1" applyFill="1" applyBorder="1" applyAlignment="1" applyProtection="1">
      <alignment horizontal="center" vertical="center" wrapText="1"/>
      <protection locked="0"/>
    </xf>
    <xf numFmtId="0" fontId="5" fillId="7" borderId="2" xfId="0" applyFont="1" applyFill="1" applyBorder="1" applyAlignment="1" applyProtection="1">
      <alignment horizontal="right" vertical="center"/>
      <protection locked="0"/>
    </xf>
    <xf numFmtId="1" fontId="5" fillId="7" borderId="3" xfId="0" applyNumberFormat="1" applyFont="1" applyFill="1" applyBorder="1" applyAlignment="1" applyProtection="1">
      <alignment horizontal="center" vertical="center"/>
      <protection locked="0"/>
    </xf>
    <xf numFmtId="49" fontId="5" fillId="0" borderId="9" xfId="0" applyNumberFormat="1" applyFont="1" applyBorder="1" applyAlignment="1">
      <alignment horizontal="center" vertical="center" wrapText="1"/>
    </xf>
    <xf numFmtId="0" fontId="6" fillId="0" borderId="9" xfId="0" applyFont="1" applyBorder="1" applyAlignment="1">
      <alignment vertical="top" wrapText="1"/>
    </xf>
    <xf numFmtId="0" fontId="3" fillId="0" borderId="0" xfId="0" applyFont="1" applyAlignment="1" applyProtection="1">
      <alignment horizontal="center"/>
      <protection locked="0"/>
    </xf>
    <xf numFmtId="2" fontId="3" fillId="2" borderId="9" xfId="0" applyNumberFormat="1" applyFont="1" applyFill="1" applyBorder="1" applyAlignment="1" applyProtection="1">
      <alignment horizontal="center" vertical="center"/>
      <protection locked="0"/>
    </xf>
    <xf numFmtId="0" fontId="8" fillId="0" borderId="9" xfId="0" applyFont="1" applyBorder="1" applyAlignment="1">
      <alignment vertical="center"/>
    </xf>
    <xf numFmtId="0" fontId="5" fillId="5" borderId="9" xfId="0" applyFont="1" applyFill="1" applyBorder="1" applyAlignment="1" applyProtection="1">
      <alignment horizontal="right" vertical="center"/>
      <protection locked="0"/>
    </xf>
    <xf numFmtId="1" fontId="5" fillId="6" borderId="11" xfId="0" applyNumberFormat="1" applyFont="1" applyFill="1" applyBorder="1" applyAlignment="1">
      <alignment horizontal="center" vertical="center"/>
    </xf>
    <xf numFmtId="0" fontId="5" fillId="6" borderId="9" xfId="0" applyFont="1" applyFill="1" applyBorder="1" applyAlignment="1" applyProtection="1">
      <alignment horizontal="left" vertical="center"/>
      <protection locked="0"/>
    </xf>
    <xf numFmtId="0" fontId="5" fillId="6" borderId="9" xfId="0" applyFont="1" applyFill="1" applyBorder="1" applyAlignment="1" applyProtection="1">
      <alignment horizontal="right" vertical="center"/>
      <protection locked="0"/>
    </xf>
    <xf numFmtId="1" fontId="5" fillId="6" borderId="12" xfId="0" applyNumberFormat="1" applyFont="1" applyFill="1" applyBorder="1" applyAlignment="1" applyProtection="1">
      <alignment horizontal="center" vertical="center"/>
      <protection locked="0"/>
    </xf>
    <xf numFmtId="1" fontId="5" fillId="8" borderId="9" xfId="0" applyNumberFormat="1" applyFont="1" applyFill="1" applyBorder="1" applyAlignment="1">
      <alignment horizontal="center" vertical="center"/>
    </xf>
    <xf numFmtId="0" fontId="5" fillId="8" borderId="9" xfId="0" applyFont="1" applyFill="1" applyBorder="1" applyAlignment="1">
      <alignment horizontal="center" vertical="center"/>
    </xf>
    <xf numFmtId="0" fontId="5" fillId="8" borderId="9" xfId="0" applyFont="1" applyFill="1" applyBorder="1" applyAlignment="1">
      <alignment vertical="center"/>
    </xf>
    <xf numFmtId="0" fontId="5" fillId="8" borderId="9" xfId="0" applyFont="1" applyFill="1" applyBorder="1" applyAlignment="1" applyProtection="1">
      <alignment horizontal="center" vertical="center"/>
      <protection locked="0"/>
    </xf>
    <xf numFmtId="0" fontId="9" fillId="8" borderId="9" xfId="0" applyFont="1" applyFill="1" applyBorder="1" applyAlignment="1">
      <alignment horizontal="center" vertical="center" wrapText="1"/>
    </xf>
    <xf numFmtId="164" fontId="5" fillId="8" borderId="9" xfId="0" applyNumberFormat="1" applyFont="1" applyFill="1" applyBorder="1" applyAlignment="1">
      <alignment horizontal="center" vertical="center"/>
    </xf>
    <xf numFmtId="0" fontId="5" fillId="8" borderId="9" xfId="0" applyFont="1" applyFill="1" applyBorder="1" applyAlignment="1" applyProtection="1">
      <alignment horizontal="left" vertical="center"/>
      <protection locked="0"/>
    </xf>
    <xf numFmtId="0" fontId="10" fillId="8" borderId="9" xfId="0" applyFont="1" applyFill="1" applyBorder="1" applyAlignment="1" applyProtection="1">
      <alignment horizontal="center" vertical="center" wrapText="1"/>
      <protection locked="0"/>
    </xf>
    <xf numFmtId="0" fontId="5" fillId="8" borderId="9" xfId="0" applyFont="1" applyFill="1" applyBorder="1" applyAlignment="1" applyProtection="1">
      <alignment horizontal="right" vertical="center"/>
      <protection locked="0"/>
    </xf>
    <xf numFmtId="1" fontId="5" fillId="8" borderId="9" xfId="0" applyNumberFormat="1" applyFont="1" applyFill="1" applyBorder="1" applyAlignment="1" applyProtection="1">
      <alignment horizontal="center" vertical="center"/>
      <protection locked="0"/>
    </xf>
    <xf numFmtId="1" fontId="5" fillId="8" borderId="13"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5" fillId="8" borderId="13" xfId="0" applyFont="1" applyFill="1" applyBorder="1" applyAlignment="1">
      <alignment vertical="center"/>
    </xf>
    <xf numFmtId="0" fontId="5" fillId="8" borderId="13" xfId="0" applyFont="1" applyFill="1" applyBorder="1" applyAlignment="1" applyProtection="1">
      <alignment horizontal="center" vertical="center"/>
      <protection locked="0"/>
    </xf>
    <xf numFmtId="0" fontId="9" fillId="8" borderId="13" xfId="0" applyFont="1" applyFill="1" applyBorder="1" applyAlignment="1">
      <alignment horizontal="center" vertical="center" wrapText="1"/>
    </xf>
    <xf numFmtId="164" fontId="5" fillId="8" borderId="13" xfId="0" applyNumberFormat="1" applyFont="1" applyFill="1" applyBorder="1" applyAlignment="1">
      <alignment horizontal="center" vertical="center"/>
    </xf>
    <xf numFmtId="0" fontId="5" fillId="8" borderId="13" xfId="0" applyFont="1" applyFill="1" applyBorder="1" applyAlignment="1" applyProtection="1">
      <alignment horizontal="left" vertical="center"/>
      <protection locked="0"/>
    </xf>
    <xf numFmtId="0" fontId="10" fillId="8" borderId="13" xfId="0" applyFont="1" applyFill="1" applyBorder="1" applyAlignment="1" applyProtection="1">
      <alignment horizontal="center" vertical="center" wrapText="1"/>
      <protection locked="0"/>
    </xf>
    <xf numFmtId="0" fontId="5" fillId="8" borderId="13" xfId="0" applyFont="1" applyFill="1" applyBorder="1" applyAlignment="1" applyProtection="1">
      <alignment horizontal="right" vertical="center"/>
      <protection locked="0"/>
    </xf>
    <xf numFmtId="1" fontId="5" fillId="8" borderId="13" xfId="0" applyNumberFormat="1" applyFont="1" applyFill="1" applyBorder="1" applyAlignment="1" applyProtection="1">
      <alignment horizontal="center" vertical="center"/>
      <protection locked="0"/>
    </xf>
    <xf numFmtId="0" fontId="0" fillId="7" borderId="1" xfId="0" applyFill="1" applyBorder="1" applyAlignment="1">
      <alignment vertical="center"/>
    </xf>
    <xf numFmtId="0" fontId="1" fillId="7" borderId="2" xfId="0" applyFont="1" applyFill="1" applyBorder="1" applyAlignment="1">
      <alignment horizontal="center" vertical="center"/>
    </xf>
    <xf numFmtId="0" fontId="0" fillId="7" borderId="2" xfId="0" applyFill="1" applyBorder="1" applyAlignment="1">
      <alignment vertical="center"/>
    </xf>
    <xf numFmtId="0" fontId="0" fillId="7" borderId="2" xfId="0" applyFill="1" applyBorder="1" applyAlignment="1">
      <alignment horizontal="center" vertical="center"/>
    </xf>
    <xf numFmtId="0" fontId="1" fillId="7" borderId="2" xfId="0" applyFont="1" applyFill="1" applyBorder="1" applyAlignment="1">
      <alignment vertical="center"/>
    </xf>
    <xf numFmtId="165" fontId="1" fillId="7" borderId="2" xfId="0" applyNumberFormat="1" applyFont="1" applyFill="1" applyBorder="1" applyAlignment="1">
      <alignment horizontal="right" vertical="center"/>
    </xf>
    <xf numFmtId="0" fontId="0" fillId="7" borderId="3" xfId="0" applyFill="1" applyBorder="1" applyAlignment="1">
      <alignment vertical="center"/>
    </xf>
    <xf numFmtId="1" fontId="11" fillId="6" borderId="9" xfId="0" applyNumberFormat="1" applyFont="1" applyFill="1" applyBorder="1" applyAlignment="1">
      <alignment horizontal="center" vertical="center"/>
    </xf>
    <xf numFmtId="0" fontId="1" fillId="6" borderId="9" xfId="0" applyFont="1" applyFill="1" applyBorder="1" applyAlignment="1">
      <alignment horizontal="center" vertical="center"/>
    </xf>
    <xf numFmtId="0" fontId="1" fillId="6" borderId="9" xfId="0" applyFont="1" applyFill="1" applyBorder="1" applyAlignment="1">
      <alignment vertical="center"/>
    </xf>
    <xf numFmtId="0" fontId="10" fillId="6" borderId="9" xfId="0" applyFont="1" applyFill="1" applyBorder="1" applyAlignment="1">
      <alignment horizontal="center" vertical="center" wrapText="1"/>
    </xf>
    <xf numFmtId="167" fontId="1" fillId="6" borderId="9" xfId="0" applyNumberFormat="1" applyFont="1" applyFill="1" applyBorder="1" applyAlignment="1">
      <alignment horizontal="center" vertical="center"/>
    </xf>
    <xf numFmtId="0" fontId="1" fillId="6" borderId="9" xfId="0" applyFont="1" applyFill="1" applyBorder="1" applyAlignment="1">
      <alignment horizontal="left" vertical="center" wrapText="1"/>
    </xf>
    <xf numFmtId="0" fontId="1" fillId="6" borderId="9" xfId="0" applyFont="1" applyFill="1" applyBorder="1" applyAlignment="1">
      <alignment horizontal="center" vertical="center" wrapText="1"/>
    </xf>
    <xf numFmtId="0" fontId="1" fillId="6" borderId="9" xfId="0" applyFont="1" applyFill="1" applyBorder="1" applyAlignment="1">
      <alignment horizontal="right" vertical="center"/>
    </xf>
    <xf numFmtId="166" fontId="1" fillId="6" borderId="9" xfId="0" applyNumberFormat="1" applyFont="1" applyFill="1" applyBorder="1" applyAlignment="1">
      <alignment horizontal="center" vertical="center"/>
    </xf>
    <xf numFmtId="1" fontId="5" fillId="0" borderId="14" xfId="0" applyNumberFormat="1" applyFont="1" applyBorder="1" applyAlignment="1">
      <alignment horizontal="center" vertical="center"/>
    </xf>
    <xf numFmtId="49" fontId="11" fillId="0" borderId="14" xfId="0" applyNumberFormat="1" applyFont="1" applyBorder="1" applyAlignment="1">
      <alignment horizontal="center" vertical="center"/>
    </xf>
    <xf numFmtId="0" fontId="6" fillId="0" borderId="14" xfId="0" applyFont="1" applyBorder="1" applyAlignment="1">
      <alignment vertical="center" wrapText="1"/>
    </xf>
    <xf numFmtId="0" fontId="3" fillId="0" borderId="1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2" fontId="3" fillId="0" borderId="16" xfId="0" applyNumberFormat="1" applyFont="1" applyBorder="1" applyAlignment="1" applyProtection="1">
      <alignment horizontal="center" vertical="center"/>
      <protection locked="0"/>
    </xf>
    <xf numFmtId="0" fontId="5" fillId="0" borderId="16" xfId="0" applyFont="1" applyBorder="1" applyAlignment="1" applyProtection="1">
      <alignment horizontal="left" vertical="center"/>
      <protection locked="0"/>
    </xf>
    <xf numFmtId="0" fontId="3" fillId="0" borderId="16" xfId="0" applyFont="1" applyBorder="1" applyAlignment="1" applyProtection="1">
      <alignment horizontal="center" vertical="center" wrapText="1"/>
      <protection locked="0"/>
    </xf>
    <xf numFmtId="0" fontId="5" fillId="0" borderId="16" xfId="0" applyFont="1" applyBorder="1" applyAlignment="1" applyProtection="1">
      <alignment horizontal="right" vertical="center"/>
      <protection locked="0"/>
    </xf>
    <xf numFmtId="1" fontId="5" fillId="0" borderId="17" xfId="0" applyNumberFormat="1" applyFont="1" applyBorder="1" applyAlignment="1" applyProtection="1">
      <alignment horizontal="center" vertical="center"/>
      <protection locked="0"/>
    </xf>
    <xf numFmtId="0" fontId="3" fillId="0" borderId="9" xfId="0" applyFont="1" applyBorder="1" applyAlignment="1">
      <alignment vertical="center" wrapText="1"/>
    </xf>
    <xf numFmtId="0" fontId="5" fillId="5" borderId="9" xfId="0" applyFont="1" applyFill="1" applyBorder="1" applyAlignment="1">
      <alignment horizontal="center" vertical="center"/>
    </xf>
    <xf numFmtId="2" fontId="5" fillId="6" borderId="9" xfId="0" applyNumberFormat="1" applyFont="1" applyFill="1" applyBorder="1" applyAlignment="1">
      <alignment horizontal="center" vertical="center"/>
    </xf>
    <xf numFmtId="2" fontId="5" fillId="0" borderId="2" xfId="0" applyNumberFormat="1" applyFont="1" applyBorder="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2" fontId="5" fillId="0" borderId="10" xfId="0" applyNumberFormat="1" applyFont="1" applyBorder="1" applyAlignment="1" applyProtection="1">
      <alignment horizontal="center" vertical="center"/>
      <protection locked="0"/>
    </xf>
    <xf numFmtId="164" fontId="5" fillId="2" borderId="9" xfId="0" applyNumberFormat="1" applyFont="1" applyFill="1" applyBorder="1" applyAlignment="1">
      <alignment horizontal="center" vertical="center"/>
    </xf>
    <xf numFmtId="0" fontId="5" fillId="3" borderId="9" xfId="0" applyFont="1" applyFill="1" applyBorder="1" applyAlignment="1" applyProtection="1">
      <alignment horizontal="center" vertical="center" wrapText="1"/>
      <protection locked="0"/>
    </xf>
    <xf numFmtId="2" fontId="5" fillId="0" borderId="12" xfId="0" applyNumberFormat="1" applyFont="1" applyBorder="1" applyAlignment="1" applyProtection="1">
      <alignment horizontal="center" vertical="center"/>
      <protection locked="0"/>
    </xf>
    <xf numFmtId="2" fontId="5" fillId="5" borderId="12" xfId="0" applyNumberFormat="1" applyFont="1" applyFill="1" applyBorder="1" applyAlignment="1" applyProtection="1">
      <alignment horizontal="center" vertical="center"/>
      <protection locked="0"/>
    </xf>
    <xf numFmtId="164" fontId="5" fillId="5" borderId="9" xfId="0" applyNumberFormat="1" applyFont="1" applyFill="1" applyBorder="1" applyAlignment="1">
      <alignment horizontal="center" vertical="center"/>
    </xf>
    <xf numFmtId="0" fontId="6" fillId="0" borderId="9" xfId="0" applyFont="1" applyBorder="1" applyAlignment="1">
      <alignment horizontal="right" vertical="center" wrapText="1"/>
    </xf>
    <xf numFmtId="1" fontId="5" fillId="0" borderId="18" xfId="0" applyNumberFormat="1" applyFont="1" applyBorder="1" applyAlignment="1">
      <alignment horizontal="center" vertical="center"/>
    </xf>
    <xf numFmtId="0" fontId="5" fillId="0" borderId="2" xfId="0" applyFont="1" applyBorder="1" applyAlignment="1">
      <alignment horizontal="center" vertical="center"/>
    </xf>
    <xf numFmtId="0" fontId="3" fillId="0" borderId="2" xfId="0" applyFont="1" applyBorder="1" applyAlignment="1">
      <alignment vertical="center"/>
    </xf>
    <xf numFmtId="2" fontId="3" fillId="2" borderId="2" xfId="0" applyNumberFormat="1" applyFont="1" applyFill="1" applyBorder="1" applyAlignment="1" applyProtection="1">
      <alignment horizontal="center" vertical="center"/>
      <protection locked="0"/>
    </xf>
    <xf numFmtId="0" fontId="3" fillId="3" borderId="2" xfId="0" applyFont="1" applyFill="1" applyBorder="1" applyAlignment="1" applyProtection="1">
      <alignment horizontal="center" vertical="center" wrapText="1"/>
      <protection locked="0"/>
    </xf>
    <xf numFmtId="0" fontId="5" fillId="4" borderId="2" xfId="0" applyFont="1" applyFill="1" applyBorder="1" applyAlignment="1" applyProtection="1">
      <alignment horizontal="right" vertical="center"/>
      <protection locked="0"/>
    </xf>
    <xf numFmtId="0" fontId="3" fillId="0" borderId="9" xfId="0" applyFont="1" applyBorder="1" applyAlignment="1" applyProtection="1">
      <alignment horizontal="center" vertical="center" wrapText="1"/>
      <protection locked="0"/>
    </xf>
    <xf numFmtId="49" fontId="11" fillId="0" borderId="9" xfId="0" applyNumberFormat="1" applyFont="1" applyBorder="1" applyAlignment="1">
      <alignment horizontal="center" vertical="center"/>
    </xf>
    <xf numFmtId="2" fontId="3" fillId="0" borderId="2" xfId="0" applyNumberFormat="1" applyFont="1" applyBorder="1" applyAlignment="1" applyProtection="1">
      <alignment horizontal="center" vertical="center" wrapText="1"/>
      <protection locked="0"/>
    </xf>
    <xf numFmtId="0" fontId="13" fillId="0" borderId="0" xfId="0" applyFont="1" applyProtection="1">
      <protection locked="0"/>
    </xf>
    <xf numFmtId="0" fontId="14" fillId="0" borderId="1" xfId="0" applyFont="1" applyBorder="1" applyAlignment="1" applyProtection="1">
      <alignment horizontal="center" vertical="center"/>
      <protection locked="0"/>
    </xf>
    <xf numFmtId="0" fontId="14" fillId="0" borderId="2" xfId="0" applyFont="1" applyBorder="1" applyAlignment="1" applyProtection="1">
      <alignment horizontal="center" vertical="center"/>
      <protection locked="0"/>
    </xf>
    <xf numFmtId="2" fontId="14" fillId="0" borderId="2" xfId="0" applyNumberFormat="1" applyFont="1" applyBorder="1" applyAlignment="1" applyProtection="1">
      <alignment horizontal="center" vertical="center"/>
      <protection locked="0"/>
    </xf>
    <xf numFmtId="2" fontId="15" fillId="0" borderId="2" xfId="0" applyNumberFormat="1" applyFont="1" applyBorder="1" applyAlignment="1" applyProtection="1">
      <alignment horizontal="center" vertical="center"/>
      <protection locked="0"/>
    </xf>
    <xf numFmtId="0" fontId="15" fillId="0" borderId="2" xfId="0" applyFont="1" applyBorder="1" applyAlignment="1" applyProtection="1">
      <alignment horizontal="left" vertical="center"/>
      <protection locked="0"/>
    </xf>
    <xf numFmtId="0" fontId="15" fillId="0" borderId="2" xfId="0" applyFont="1" applyBorder="1" applyAlignment="1" applyProtection="1">
      <alignment horizontal="center" vertical="center" wrapText="1"/>
      <protection locked="0"/>
    </xf>
    <xf numFmtId="0" fontId="15" fillId="0" borderId="2" xfId="0" applyFont="1" applyBorder="1" applyAlignment="1" applyProtection="1">
      <alignment horizontal="right" vertical="center"/>
      <protection locked="0"/>
    </xf>
    <xf numFmtId="2" fontId="15" fillId="0" borderId="10" xfId="0" applyNumberFormat="1" applyFont="1" applyBorder="1" applyAlignment="1" applyProtection="1">
      <alignment horizontal="center" vertical="center"/>
      <protection locked="0"/>
    </xf>
    <xf numFmtId="0" fontId="15" fillId="0" borderId="9" xfId="0" applyFont="1" applyBorder="1" applyAlignment="1">
      <alignment horizontal="center" vertical="center"/>
    </xf>
    <xf numFmtId="0" fontId="14" fillId="0" borderId="9" xfId="0" applyFont="1" applyBorder="1" applyAlignment="1">
      <alignment vertical="center"/>
    </xf>
    <xf numFmtId="0" fontId="14" fillId="0" borderId="9" xfId="0" applyFont="1" applyBorder="1" applyAlignment="1" applyProtection="1">
      <alignment horizontal="center" vertical="center"/>
      <protection locked="0"/>
    </xf>
    <xf numFmtId="2" fontId="14" fillId="0" borderId="9" xfId="0" applyNumberFormat="1" applyFont="1" applyBorder="1" applyAlignment="1" applyProtection="1">
      <alignment horizontal="center" vertical="center"/>
      <protection locked="0"/>
    </xf>
    <xf numFmtId="164" fontId="15" fillId="2" borderId="9" xfId="0" applyNumberFormat="1" applyFont="1" applyFill="1" applyBorder="1" applyAlignment="1">
      <alignment horizontal="center" vertical="center"/>
    </xf>
    <xf numFmtId="0" fontId="15" fillId="0" borderId="9" xfId="0" applyFont="1" applyBorder="1" applyAlignment="1" applyProtection="1">
      <alignment horizontal="left" vertical="center"/>
      <protection locked="0"/>
    </xf>
    <xf numFmtId="0" fontId="15" fillId="3" borderId="9" xfId="0" applyFont="1" applyFill="1" applyBorder="1" applyAlignment="1" applyProtection="1">
      <alignment horizontal="center" vertical="center" wrapText="1"/>
      <protection locked="0"/>
    </xf>
    <xf numFmtId="0" fontId="15" fillId="4" borderId="9" xfId="0" applyFont="1" applyFill="1" applyBorder="1" applyAlignment="1" applyProtection="1">
      <alignment horizontal="right" vertical="center"/>
      <protection locked="0"/>
    </xf>
    <xf numFmtId="2" fontId="15" fillId="0" borderId="12" xfId="0" applyNumberFormat="1" applyFont="1" applyBorder="1" applyAlignment="1" applyProtection="1">
      <alignment horizontal="center" vertical="center"/>
      <protection locked="0"/>
    </xf>
    <xf numFmtId="0" fontId="15" fillId="5" borderId="9" xfId="0" applyFont="1" applyFill="1" applyBorder="1" applyAlignment="1">
      <alignment horizontal="center" vertical="center"/>
    </xf>
    <xf numFmtId="0" fontId="15" fillId="5" borderId="9" xfId="0" applyFont="1" applyFill="1" applyBorder="1" applyAlignment="1">
      <alignment vertical="center"/>
    </xf>
    <xf numFmtId="0" fontId="15" fillId="5" borderId="9" xfId="0" applyFont="1" applyFill="1" applyBorder="1" applyAlignment="1" applyProtection="1">
      <alignment horizontal="center" vertical="center"/>
      <protection locked="0"/>
    </xf>
    <xf numFmtId="2" fontId="15" fillId="5" borderId="9" xfId="0" applyNumberFormat="1" applyFont="1" applyFill="1" applyBorder="1" applyAlignment="1">
      <alignment horizontal="center" vertical="center"/>
    </xf>
    <xf numFmtId="2" fontId="15" fillId="5" borderId="9" xfId="0" applyNumberFormat="1" applyFont="1" applyFill="1" applyBorder="1" applyAlignment="1">
      <alignment horizontal="center" vertical="center"/>
    </xf>
    <xf numFmtId="0" fontId="15" fillId="5" borderId="9" xfId="0" applyFont="1" applyFill="1" applyBorder="1" applyAlignment="1" applyProtection="1">
      <alignment horizontal="left" vertical="center"/>
      <protection locked="0"/>
    </xf>
    <xf numFmtId="0" fontId="15" fillId="5" borderId="9" xfId="0" applyFont="1" applyFill="1" applyBorder="1" applyAlignment="1" applyProtection="1">
      <alignment horizontal="center" vertical="center" wrapText="1"/>
      <protection locked="0"/>
    </xf>
    <xf numFmtId="165" fontId="15" fillId="5" borderId="9" xfId="0" applyNumberFormat="1" applyFont="1" applyFill="1" applyBorder="1" applyAlignment="1">
      <alignment horizontal="right" vertical="center"/>
    </xf>
    <xf numFmtId="2" fontId="15" fillId="5" borderId="12" xfId="0" applyNumberFormat="1" applyFont="1" applyFill="1" applyBorder="1" applyAlignment="1" applyProtection="1">
      <alignment horizontal="center" vertical="center"/>
      <protection locked="0"/>
    </xf>
    <xf numFmtId="0" fontId="15" fillId="6" borderId="9" xfId="0" applyFont="1" applyFill="1" applyBorder="1" applyAlignment="1">
      <alignment horizontal="center" vertical="center"/>
    </xf>
    <xf numFmtId="0" fontId="15" fillId="6" borderId="9" xfId="0" applyFont="1" applyFill="1" applyBorder="1" applyAlignment="1">
      <alignment vertical="center"/>
    </xf>
    <xf numFmtId="0" fontId="15" fillId="6" borderId="9" xfId="0" applyFont="1" applyFill="1" applyBorder="1" applyAlignment="1" applyProtection="1">
      <alignment horizontal="center" vertical="center"/>
      <protection locked="0"/>
    </xf>
    <xf numFmtId="0" fontId="15" fillId="6" borderId="9" xfId="0" applyFont="1" applyFill="1" applyBorder="1" applyAlignment="1">
      <alignment horizontal="center" vertical="center"/>
    </xf>
    <xf numFmtId="164" fontId="15" fillId="6" borderId="9" xfId="0" applyNumberFormat="1" applyFont="1" applyFill="1" applyBorder="1" applyAlignment="1">
      <alignment horizontal="center" vertical="center"/>
    </xf>
    <xf numFmtId="0" fontId="15" fillId="6" borderId="9" xfId="0" applyFont="1" applyFill="1" applyBorder="1" applyAlignment="1" applyProtection="1">
      <alignment horizontal="left" vertical="center" wrapText="1"/>
      <protection locked="0"/>
    </xf>
    <xf numFmtId="0" fontId="15" fillId="6" borderId="9" xfId="0" applyFont="1" applyFill="1" applyBorder="1" applyAlignment="1" applyProtection="1">
      <alignment horizontal="center" vertical="center" wrapText="1"/>
      <protection locked="0"/>
    </xf>
    <xf numFmtId="0" fontId="15" fillId="6" borderId="9" xfId="0" applyFont="1" applyFill="1" applyBorder="1" applyAlignment="1">
      <alignment horizontal="right" vertical="center"/>
    </xf>
    <xf numFmtId="166" fontId="15" fillId="6" borderId="9" xfId="0" applyNumberFormat="1" applyFont="1" applyFill="1" applyBorder="1" applyAlignment="1">
      <alignment horizontal="center" vertical="center"/>
    </xf>
    <xf numFmtId="0" fontId="5" fillId="9" borderId="9" xfId="0" applyFont="1" applyFill="1" applyBorder="1" applyAlignment="1">
      <alignment horizontal="center" vertical="center" wrapText="1"/>
    </xf>
    <xf numFmtId="0" fontId="3" fillId="9" borderId="9" xfId="0" applyFont="1" applyFill="1" applyBorder="1" applyAlignment="1">
      <alignment vertical="center" wrapText="1"/>
    </xf>
    <xf numFmtId="0" fontId="3" fillId="9" borderId="9" xfId="0" applyFont="1" applyFill="1" applyBorder="1" applyAlignment="1" applyProtection="1">
      <alignment horizontal="center" vertical="center" wrapText="1"/>
      <protection locked="0"/>
    </xf>
    <xf numFmtId="2" fontId="3" fillId="9" borderId="9" xfId="0" applyNumberFormat="1" applyFont="1" applyFill="1" applyBorder="1" applyAlignment="1" applyProtection="1">
      <alignment horizontal="center" vertical="center" wrapText="1"/>
      <protection locked="0"/>
    </xf>
    <xf numFmtId="0" fontId="3" fillId="0" borderId="9" xfId="0" applyFont="1" applyBorder="1" applyAlignment="1" applyProtection="1">
      <alignment vertical="center"/>
      <protection locked="0"/>
    </xf>
    <xf numFmtId="0" fontId="5" fillId="5" borderId="9" xfId="0" applyFont="1" applyFill="1" applyBorder="1" applyAlignment="1">
      <alignment vertical="center" wrapText="1"/>
    </xf>
    <xf numFmtId="2" fontId="5" fillId="5" borderId="9" xfId="0" applyNumberFormat="1" applyFont="1" applyFill="1" applyBorder="1" applyAlignment="1">
      <alignment horizontal="center" vertical="center" wrapText="1"/>
    </xf>
    <xf numFmtId="165" fontId="5" fillId="5" borderId="9" xfId="0" applyNumberFormat="1" applyFont="1" applyFill="1" applyBorder="1" applyAlignment="1">
      <alignment horizontal="right" vertical="center" wrapText="1"/>
    </xf>
    <xf numFmtId="1" fontId="5" fillId="5" borderId="12" xfId="0" applyNumberFormat="1" applyFont="1" applyFill="1" applyBorder="1" applyAlignment="1" applyProtection="1">
      <alignment horizontal="center" vertical="center" wrapText="1"/>
      <protection locked="0"/>
    </xf>
    <xf numFmtId="0" fontId="5" fillId="6" borderId="9" xfId="0" applyFont="1" applyFill="1" applyBorder="1" applyAlignment="1">
      <alignment vertical="center" wrapText="1"/>
    </xf>
    <xf numFmtId="164" fontId="5" fillId="6" borderId="9" xfId="0" applyNumberFormat="1" applyFont="1" applyFill="1" applyBorder="1" applyAlignment="1">
      <alignment horizontal="center" vertical="center" wrapText="1"/>
    </xf>
    <xf numFmtId="0" fontId="5" fillId="6" borderId="9" xfId="0" applyFont="1" applyFill="1" applyBorder="1" applyAlignment="1">
      <alignment horizontal="right" vertical="center" wrapText="1"/>
    </xf>
    <xf numFmtId="166" fontId="5" fillId="6" borderId="9" xfId="0" applyNumberFormat="1" applyFont="1" applyFill="1" applyBorder="1" applyAlignment="1">
      <alignment horizontal="center" vertical="center" wrapText="1"/>
    </xf>
    <xf numFmtId="0" fontId="3" fillId="7" borderId="2" xfId="0" applyFont="1" applyFill="1" applyBorder="1" applyAlignment="1">
      <alignment vertical="center" wrapText="1"/>
    </xf>
    <xf numFmtId="2" fontId="3" fillId="7" borderId="2" xfId="0" applyNumberFormat="1" applyFont="1" applyFill="1" applyBorder="1" applyAlignment="1" applyProtection="1">
      <alignment horizontal="center" vertical="center" wrapText="1"/>
      <protection locked="0"/>
    </xf>
    <xf numFmtId="0" fontId="5" fillId="7" borderId="2" xfId="0" applyFont="1" applyFill="1" applyBorder="1" applyAlignment="1" applyProtection="1">
      <alignment horizontal="left" vertical="center" wrapText="1"/>
      <protection locked="0"/>
    </xf>
    <xf numFmtId="0" fontId="5" fillId="7" borderId="2" xfId="0" applyFont="1" applyFill="1" applyBorder="1" applyAlignment="1" applyProtection="1">
      <alignment horizontal="right" vertical="center" wrapText="1"/>
      <protection locked="0"/>
    </xf>
    <xf numFmtId="1" fontId="5" fillId="7" borderId="3" xfId="0" applyNumberFormat="1" applyFont="1" applyFill="1" applyBorder="1" applyAlignment="1" applyProtection="1">
      <alignment horizontal="center" vertical="center" wrapText="1"/>
      <protection locked="0"/>
    </xf>
    <xf numFmtId="0" fontId="5" fillId="6" borderId="9" xfId="0" applyFont="1" applyFill="1" applyBorder="1" applyAlignment="1">
      <alignment horizontal="center" vertical="center" wrapText="1"/>
    </xf>
    <xf numFmtId="2" fontId="5" fillId="6" borderId="9" xfId="0" applyNumberFormat="1" applyFont="1" applyFill="1" applyBorder="1" applyAlignment="1">
      <alignment horizontal="center" vertical="center" wrapText="1"/>
    </xf>
    <xf numFmtId="0" fontId="5" fillId="10" borderId="9" xfId="1" applyFont="1" applyFill="1" applyBorder="1" applyAlignment="1">
      <alignment horizontal="center" vertical="center" wrapText="1"/>
    </xf>
    <xf numFmtId="0" fontId="3" fillId="10" borderId="9" xfId="0" applyFont="1" applyFill="1" applyBorder="1" applyAlignment="1">
      <alignment vertical="center" wrapText="1"/>
    </xf>
    <xf numFmtId="0" fontId="5" fillId="5" borderId="9" xfId="1" applyFont="1" applyFill="1" applyBorder="1" applyAlignment="1">
      <alignment horizontal="center" vertical="center" wrapText="1"/>
    </xf>
    <xf numFmtId="165" fontId="5" fillId="5" borderId="9" xfId="1" applyNumberFormat="1" applyFont="1" applyFill="1" applyBorder="1" applyAlignment="1">
      <alignment horizontal="right" vertical="center" wrapText="1"/>
    </xf>
    <xf numFmtId="0" fontId="5" fillId="6" borderId="9" xfId="1" applyFont="1" applyFill="1" applyBorder="1" applyAlignment="1">
      <alignment horizontal="center" vertical="center" wrapText="1"/>
    </xf>
    <xf numFmtId="0" fontId="5" fillId="7" borderId="2" xfId="1" applyFont="1" applyFill="1" applyBorder="1" applyAlignment="1">
      <alignment horizontal="center" vertical="center" wrapText="1"/>
    </xf>
    <xf numFmtId="2" fontId="5" fillId="4" borderId="9" xfId="1" applyNumberFormat="1" applyFont="1" applyFill="1" applyBorder="1" applyAlignment="1" applyProtection="1">
      <alignment horizontal="right" vertical="center" wrapText="1"/>
      <protection locked="0"/>
    </xf>
    <xf numFmtId="2" fontId="5" fillId="5" borderId="9" xfId="1" applyNumberFormat="1" applyFont="1" applyFill="1" applyBorder="1" applyAlignment="1">
      <alignment horizontal="center" vertical="center" wrapText="1"/>
    </xf>
    <xf numFmtId="164" fontId="5" fillId="6" borderId="9" xfId="1" applyNumberFormat="1" applyFont="1" applyFill="1" applyBorder="1" applyAlignment="1">
      <alignment horizontal="center" vertical="center" wrapText="1"/>
    </xf>
    <xf numFmtId="2" fontId="3" fillId="7" borderId="2" xfId="1" applyNumberFormat="1" applyFont="1" applyFill="1" applyBorder="1" applyAlignment="1" applyProtection="1">
      <alignment horizontal="center" vertical="center" wrapText="1"/>
      <protection locked="0"/>
    </xf>
    <xf numFmtId="2" fontId="3" fillId="0" borderId="2" xfId="1" applyNumberFormat="1" applyFont="1" applyBorder="1" applyAlignment="1" applyProtection="1">
      <alignment horizontal="center" vertical="center" wrapText="1"/>
      <protection locked="0"/>
    </xf>
    <xf numFmtId="0" fontId="5" fillId="5" borderId="9" xfId="0" applyFont="1" applyFill="1" applyBorder="1" applyAlignment="1" applyProtection="1">
      <alignment vertical="center"/>
      <protection locked="0"/>
    </xf>
    <xf numFmtId="0" fontId="5" fillId="6" borderId="9" xfId="0" applyFont="1" applyFill="1" applyBorder="1" applyAlignment="1" applyProtection="1">
      <alignment vertical="center"/>
      <protection locked="0"/>
    </xf>
    <xf numFmtId="0" fontId="3" fillId="7" borderId="2" xfId="0" applyFont="1" applyFill="1" applyBorder="1" applyAlignment="1" applyProtection="1">
      <alignment vertical="center"/>
      <protection locked="0"/>
    </xf>
    <xf numFmtId="0" fontId="6" fillId="0" borderId="9" xfId="0" applyFont="1" applyBorder="1" applyAlignment="1" applyProtection="1">
      <alignment vertical="center" wrapText="1"/>
      <protection locked="0"/>
    </xf>
    <xf numFmtId="0" fontId="5" fillId="6" borderId="9" xfId="0" applyFont="1" applyFill="1" applyBorder="1" applyAlignment="1" applyProtection="1">
      <alignment vertical="center" wrapText="1"/>
      <protection locked="0"/>
    </xf>
    <xf numFmtId="0" fontId="3" fillId="7" borderId="2" xfId="0" applyFont="1" applyFill="1" applyBorder="1" applyAlignment="1" applyProtection="1">
      <alignment vertical="center" wrapText="1"/>
      <protection locked="0"/>
    </xf>
    <xf numFmtId="0" fontId="3" fillId="0" borderId="9" xfId="0" applyFont="1" applyBorder="1" applyAlignment="1" applyProtection="1">
      <alignment vertical="center" wrapText="1"/>
      <protection locked="0"/>
    </xf>
    <xf numFmtId="1" fontId="3" fillId="0" borderId="9" xfId="0" applyNumberFormat="1" applyFont="1" applyBorder="1" applyAlignment="1" applyProtection="1">
      <alignment horizontal="center" vertical="center"/>
      <protection locked="0"/>
    </xf>
    <xf numFmtId="0" fontId="5" fillId="5" borderId="9" xfId="0" applyFont="1" applyFill="1" applyBorder="1" applyAlignment="1" applyProtection="1">
      <alignment vertical="center" wrapText="1"/>
      <protection locked="0"/>
    </xf>
    <xf numFmtId="0" fontId="14" fillId="0" borderId="1" xfId="0" applyFont="1" applyBorder="1" applyAlignment="1">
      <alignment horizontal="center" vertical="center"/>
    </xf>
    <xf numFmtId="0" fontId="14" fillId="0" borderId="2" xfId="0" applyFont="1" applyBorder="1" applyAlignment="1">
      <alignment horizontal="center" vertical="center"/>
    </xf>
    <xf numFmtId="2" fontId="14" fillId="0" borderId="2" xfId="0" applyNumberFormat="1" applyFont="1" applyBorder="1" applyAlignment="1">
      <alignment horizontal="center" vertical="center"/>
    </xf>
    <xf numFmtId="2" fontId="15" fillId="0" borderId="2" xfId="0" applyNumberFormat="1" applyFont="1" applyBorder="1" applyAlignment="1">
      <alignment horizontal="center" vertical="center"/>
    </xf>
    <xf numFmtId="0" fontId="15" fillId="0" borderId="2" xfId="0" applyFont="1" applyBorder="1" applyAlignment="1">
      <alignment horizontal="left" vertical="center"/>
    </xf>
    <xf numFmtId="0" fontId="15" fillId="0" borderId="2" xfId="0" applyFont="1" applyBorder="1" applyAlignment="1">
      <alignment horizontal="center" vertical="center" wrapText="1"/>
    </xf>
    <xf numFmtId="0" fontId="15" fillId="0" borderId="2" xfId="0" applyFont="1" applyBorder="1" applyAlignment="1">
      <alignment horizontal="right" vertical="center"/>
    </xf>
    <xf numFmtId="2" fontId="15" fillId="0" borderId="10" xfId="0" applyNumberFormat="1" applyFont="1" applyBorder="1" applyAlignment="1">
      <alignment horizontal="center" vertical="center"/>
    </xf>
    <xf numFmtId="0" fontId="14" fillId="0" borderId="9" xfId="0" applyFont="1" applyBorder="1" applyAlignment="1">
      <alignment horizontal="center" vertical="center"/>
    </xf>
    <xf numFmtId="2" fontId="14" fillId="0" borderId="9" xfId="0" applyNumberFormat="1" applyFont="1" applyBorder="1" applyAlignment="1">
      <alignment horizontal="center" vertical="center"/>
    </xf>
    <xf numFmtId="0" fontId="15" fillId="0" borderId="9" xfId="0" applyFont="1" applyBorder="1" applyAlignment="1">
      <alignment horizontal="left" vertical="center"/>
    </xf>
    <xf numFmtId="0" fontId="15" fillId="3" borderId="9" xfId="0" applyFont="1" applyFill="1" applyBorder="1" applyAlignment="1">
      <alignment horizontal="center" vertical="center" wrapText="1"/>
    </xf>
    <xf numFmtId="0" fontId="15" fillId="4" borderId="9" xfId="0" applyFont="1" applyFill="1" applyBorder="1" applyAlignment="1">
      <alignment horizontal="right" vertical="center"/>
    </xf>
    <xf numFmtId="2" fontId="15" fillId="0" borderId="12" xfId="0" applyNumberFormat="1" applyFont="1" applyBorder="1" applyAlignment="1">
      <alignment horizontal="center" vertical="center"/>
    </xf>
    <xf numFmtId="0" fontId="15" fillId="5" borderId="9" xfId="0" applyFont="1" applyFill="1" applyBorder="1" applyAlignment="1">
      <alignment horizontal="left" vertical="center"/>
    </xf>
    <xf numFmtId="0" fontId="15" fillId="5" borderId="9" xfId="0" applyFont="1" applyFill="1" applyBorder="1" applyAlignment="1">
      <alignment horizontal="center" vertical="center" wrapText="1"/>
    </xf>
    <xf numFmtId="2" fontId="15" fillId="5" borderId="12" xfId="0" applyNumberFormat="1" applyFont="1" applyFill="1" applyBorder="1" applyAlignment="1">
      <alignment horizontal="center" vertical="center"/>
    </xf>
    <xf numFmtId="2" fontId="4" fillId="5" borderId="9" xfId="0" applyNumberFormat="1" applyFont="1" applyFill="1" applyBorder="1" applyAlignment="1">
      <alignment horizontal="center" vertical="center"/>
    </xf>
    <xf numFmtId="0" fontId="4" fillId="5" borderId="9" xfId="0" applyFont="1" applyFill="1" applyBorder="1" applyAlignment="1" applyProtection="1">
      <alignment horizontal="left" vertical="center"/>
      <protection locked="0"/>
    </xf>
    <xf numFmtId="0" fontId="4" fillId="5" borderId="9" xfId="0" applyFont="1" applyFill="1" applyBorder="1" applyAlignment="1" applyProtection="1">
      <alignment horizontal="center" vertical="center" wrapText="1"/>
      <protection locked="0"/>
    </xf>
    <xf numFmtId="165" fontId="4" fillId="5" borderId="9" xfId="0" applyNumberFormat="1" applyFont="1" applyFill="1" applyBorder="1" applyAlignment="1">
      <alignment horizontal="right" vertical="center"/>
    </xf>
    <xf numFmtId="1" fontId="4" fillId="5" borderId="12" xfId="0" applyNumberFormat="1" applyFont="1" applyFill="1" applyBorder="1" applyAlignment="1" applyProtection="1">
      <alignment horizontal="center" vertical="center"/>
      <protection locked="0"/>
    </xf>
    <xf numFmtId="0" fontId="3" fillId="0" borderId="0" xfId="0" applyFont="1" applyAlignment="1" applyProtection="1">
      <alignment vertical="center"/>
      <protection locked="0"/>
    </xf>
    <xf numFmtId="0" fontId="5" fillId="7" borderId="1" xfId="0" applyFont="1" applyFill="1" applyBorder="1" applyAlignment="1" applyProtection="1">
      <alignment horizontal="center" vertical="center"/>
      <protection locked="0"/>
    </xf>
    <xf numFmtId="0" fontId="5" fillId="7" borderId="2" xfId="0" applyFont="1" applyFill="1" applyBorder="1" applyAlignment="1" applyProtection="1">
      <alignment horizontal="center" vertical="center"/>
      <protection locked="0"/>
    </xf>
    <xf numFmtId="0" fontId="5" fillId="7" borderId="2" xfId="0" applyFont="1" applyFill="1" applyBorder="1" applyAlignment="1" applyProtection="1">
      <alignment vertical="center"/>
      <protection locked="0"/>
    </xf>
    <xf numFmtId="2" fontId="5" fillId="7" borderId="2" xfId="0" applyNumberFormat="1"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0" fillId="0" borderId="0" xfId="0" applyAlignment="1">
      <alignment horizontal="center" vertical="center"/>
    </xf>
    <xf numFmtId="0" fontId="1" fillId="0" borderId="0" xfId="0" applyFont="1" applyAlignment="1">
      <alignment vertical="center"/>
    </xf>
    <xf numFmtId="0" fontId="17" fillId="11" borderId="19" xfId="0" applyFont="1" applyFill="1" applyBorder="1" applyAlignment="1">
      <alignment horizontal="centerContinuous" vertical="center"/>
    </xf>
    <xf numFmtId="0" fontId="18" fillId="11" borderId="16" xfId="0" applyFont="1" applyFill="1" applyBorder="1" applyAlignment="1">
      <alignment horizontal="centerContinuous" vertical="center"/>
    </xf>
    <xf numFmtId="166" fontId="18" fillId="11" borderId="17" xfId="0" applyNumberFormat="1" applyFont="1" applyFill="1" applyBorder="1" applyAlignment="1">
      <alignment horizontal="center" vertical="center"/>
    </xf>
    <xf numFmtId="0" fontId="17" fillId="11" borderId="18" xfId="0" applyFont="1" applyFill="1" applyBorder="1" applyAlignment="1">
      <alignment horizontal="centerContinuous" vertical="center"/>
    </xf>
    <xf numFmtId="0" fontId="18" fillId="11" borderId="2" xfId="0" applyFont="1" applyFill="1" applyBorder="1" applyAlignment="1">
      <alignment horizontal="centerContinuous" vertical="center"/>
    </xf>
    <xf numFmtId="166" fontId="18" fillId="11" borderId="10" xfId="0" applyNumberFormat="1" applyFont="1" applyFill="1" applyBorder="1" applyAlignment="1">
      <alignment horizontal="center" vertical="center"/>
    </xf>
    <xf numFmtId="0" fontId="19" fillId="11" borderId="18" xfId="0" applyFont="1" applyFill="1" applyBorder="1" applyAlignment="1">
      <alignment horizontal="centerContinuous" vertical="center"/>
    </xf>
    <xf numFmtId="0" fontId="19" fillId="11" borderId="2" xfId="0" applyFont="1" applyFill="1" applyBorder="1" applyAlignment="1">
      <alignment horizontal="centerContinuous"/>
    </xf>
    <xf numFmtId="166" fontId="19" fillId="11" borderId="10" xfId="0" applyNumberFormat="1" applyFont="1" applyFill="1" applyBorder="1" applyAlignment="1">
      <alignment horizontal="center" vertical="center"/>
    </xf>
    <xf numFmtId="0" fontId="19" fillId="11" borderId="20" xfId="0" applyFont="1" applyFill="1" applyBorder="1" applyAlignment="1">
      <alignment horizontal="centerContinuous" vertical="center"/>
    </xf>
    <xf numFmtId="0" fontId="19" fillId="11" borderId="5" xfId="0" applyFont="1" applyFill="1" applyBorder="1" applyAlignment="1">
      <alignment horizontal="centerContinuous"/>
    </xf>
    <xf numFmtId="166" fontId="19" fillId="11" borderId="21" xfId="0" applyNumberFormat="1" applyFont="1" applyFill="1" applyBorder="1" applyAlignment="1">
      <alignment horizontal="center" vertical="center"/>
    </xf>
    <xf numFmtId="0" fontId="20" fillId="0" borderId="0" xfId="0" applyFont="1" applyAlignment="1">
      <alignment horizontal="centerContinuous" vertical="center"/>
    </xf>
    <xf numFmtId="0" fontId="1" fillId="0" borderId="0" xfId="0" applyFont="1" applyAlignment="1">
      <alignment horizontal="centerContinuous" vertical="center"/>
    </xf>
    <xf numFmtId="166" fontId="1" fillId="0" borderId="0" xfId="0" applyNumberFormat="1" applyFont="1" applyAlignment="1">
      <alignment horizontal="center" vertical="center"/>
    </xf>
    <xf numFmtId="0" fontId="21" fillId="0" borderId="0" xfId="0" applyFont="1" applyAlignment="1">
      <alignment horizontal="right" vertical="center" wrapText="1"/>
    </xf>
    <xf numFmtId="0" fontId="21" fillId="0" borderId="0" xfId="0" applyFont="1" applyAlignment="1">
      <alignment horizontal="left" vertical="center" wrapText="1"/>
    </xf>
    <xf numFmtId="0" fontId="5" fillId="0" borderId="0" xfId="0" applyFont="1" applyAlignment="1" applyProtection="1">
      <alignment vertical="center"/>
      <protection locked="0"/>
    </xf>
    <xf numFmtId="1" fontId="5" fillId="0" borderId="0" xfId="0" applyNumberFormat="1" applyFont="1" applyAlignment="1" applyProtection="1">
      <alignment vertical="center"/>
      <protection locked="0"/>
    </xf>
    <xf numFmtId="0" fontId="22" fillId="12" borderId="22" xfId="0" applyFont="1" applyFill="1" applyBorder="1" applyAlignment="1">
      <alignment horizontal="center" vertical="center" wrapText="1"/>
    </xf>
    <xf numFmtId="0" fontId="22" fillId="12" borderId="23" xfId="0" applyFont="1" applyFill="1" applyBorder="1" applyAlignment="1">
      <alignment horizontal="center" vertical="center" wrapText="1"/>
    </xf>
    <xf numFmtId="0" fontId="22" fillId="12" borderId="23" xfId="0" applyFont="1" applyFill="1" applyBorder="1" applyAlignment="1">
      <alignment horizontal="center" vertical="center" wrapText="1"/>
    </xf>
    <xf numFmtId="0" fontId="22" fillId="12" borderId="24" xfId="0" applyFont="1" applyFill="1" applyBorder="1" applyAlignment="1">
      <alignment horizontal="center" vertical="center" wrapText="1"/>
    </xf>
    <xf numFmtId="0" fontId="20" fillId="0" borderId="25" xfId="0" applyFont="1" applyBorder="1" applyAlignment="1">
      <alignment horizontal="right" wrapText="1"/>
    </xf>
    <xf numFmtId="0" fontId="23" fillId="13" borderId="3" xfId="0" applyFont="1" applyFill="1" applyBorder="1" applyAlignment="1">
      <alignment horizontal="left" vertical="center" wrapText="1"/>
    </xf>
    <xf numFmtId="0" fontId="23" fillId="13" borderId="9" xfId="0" applyFont="1" applyFill="1" applyBorder="1" applyAlignment="1">
      <alignment horizontal="left" vertical="center" wrapText="1"/>
    </xf>
    <xf numFmtId="4" fontId="20" fillId="13" borderId="9" xfId="0" applyNumberFormat="1" applyFont="1" applyFill="1" applyBorder="1" applyAlignment="1">
      <alignment horizontal="right" vertical="center"/>
    </xf>
    <xf numFmtId="49" fontId="23" fillId="13" borderId="9" xfId="0" applyNumberFormat="1" applyFont="1" applyFill="1" applyBorder="1" applyAlignment="1">
      <alignment horizontal="center" vertical="center"/>
    </xf>
    <xf numFmtId="4" fontId="23" fillId="13" borderId="9" xfId="0" applyNumberFormat="1" applyFont="1" applyFill="1" applyBorder="1" applyAlignment="1">
      <alignment horizontal="right" vertical="center"/>
    </xf>
    <xf numFmtId="9" fontId="23" fillId="13" borderId="9" xfId="0" applyNumberFormat="1" applyFont="1" applyFill="1" applyBorder="1" applyAlignment="1">
      <alignment horizontal="center" vertical="center"/>
    </xf>
    <xf numFmtId="3" fontId="23" fillId="13" borderId="9" xfId="0" applyNumberFormat="1" applyFont="1" applyFill="1" applyBorder="1" applyAlignment="1">
      <alignment horizontal="right"/>
    </xf>
    <xf numFmtId="3" fontId="23" fillId="13" borderId="26" xfId="0" applyNumberFormat="1" applyFont="1" applyFill="1" applyBorder="1" applyAlignment="1">
      <alignment horizontal="right"/>
    </xf>
    <xf numFmtId="0" fontId="0" fillId="0" borderId="27" xfId="0" applyBorder="1"/>
    <xf numFmtId="0" fontId="23" fillId="14" borderId="3" xfId="0" applyFont="1" applyFill="1" applyBorder="1" applyAlignment="1">
      <alignment horizontal="left" vertical="center" wrapText="1"/>
    </xf>
    <xf numFmtId="0" fontId="23" fillId="14" borderId="9" xfId="0" applyFont="1" applyFill="1" applyBorder="1" applyAlignment="1">
      <alignment horizontal="left" vertical="center" wrapText="1"/>
    </xf>
    <xf numFmtId="4" fontId="20" fillId="14" borderId="9" xfId="0" applyNumberFormat="1" applyFont="1" applyFill="1" applyBorder="1" applyAlignment="1">
      <alignment horizontal="right" vertical="center"/>
    </xf>
    <xf numFmtId="49" fontId="23" fillId="14" borderId="9" xfId="0" applyNumberFormat="1" applyFont="1" applyFill="1" applyBorder="1" applyAlignment="1">
      <alignment horizontal="center" vertical="center"/>
    </xf>
    <xf numFmtId="4" fontId="23" fillId="14" borderId="9" xfId="0" applyNumberFormat="1" applyFont="1" applyFill="1" applyBorder="1" applyAlignment="1">
      <alignment horizontal="right" vertical="center"/>
    </xf>
    <xf numFmtId="9" fontId="23" fillId="14" borderId="9" xfId="0" applyNumberFormat="1" applyFont="1" applyFill="1" applyBorder="1" applyAlignment="1">
      <alignment horizontal="center" vertical="center"/>
    </xf>
    <xf numFmtId="3" fontId="23" fillId="14" borderId="9" xfId="0" applyNumberFormat="1" applyFont="1" applyFill="1" applyBorder="1" applyAlignment="1">
      <alignment horizontal="right"/>
    </xf>
    <xf numFmtId="3" fontId="23" fillId="14" borderId="26" xfId="0" applyNumberFormat="1" applyFont="1" applyFill="1" applyBorder="1" applyAlignment="1">
      <alignment horizontal="right"/>
    </xf>
    <xf numFmtId="0" fontId="0" fillId="0" borderId="25" xfId="0" applyBorder="1"/>
    <xf numFmtId="0" fontId="23" fillId="12" borderId="3" xfId="0" applyFont="1" applyFill="1" applyBorder="1" applyAlignment="1">
      <alignment horizontal="left" vertical="center" wrapText="1"/>
    </xf>
    <xf numFmtId="0" fontId="23" fillId="12" borderId="9" xfId="0" applyFont="1" applyFill="1" applyBorder="1" applyAlignment="1">
      <alignment horizontal="left" vertical="center" wrapText="1"/>
    </xf>
    <xf numFmtId="3" fontId="20" fillId="12" borderId="9" xfId="0" applyNumberFormat="1" applyFont="1" applyFill="1" applyBorder="1" applyAlignment="1">
      <alignment horizontal="right" vertical="center"/>
    </xf>
    <xf numFmtId="49" fontId="23" fillId="12" borderId="9" xfId="0" applyNumberFormat="1" applyFont="1" applyFill="1" applyBorder="1" applyAlignment="1">
      <alignment horizontal="center" vertical="center"/>
    </xf>
    <xf numFmtId="4" fontId="23" fillId="12" borderId="9" xfId="0" applyNumberFormat="1" applyFont="1" applyFill="1" applyBorder="1" applyAlignment="1">
      <alignment horizontal="right" vertical="center"/>
    </xf>
    <xf numFmtId="9" fontId="23" fillId="12" borderId="9" xfId="0" applyNumberFormat="1" applyFont="1" applyFill="1" applyBorder="1" applyAlignment="1">
      <alignment horizontal="center" vertical="center"/>
    </xf>
    <xf numFmtId="3" fontId="23" fillId="12" borderId="9" xfId="0" applyNumberFormat="1" applyFont="1" applyFill="1" applyBorder="1" applyAlignment="1">
      <alignment horizontal="right"/>
    </xf>
    <xf numFmtId="3" fontId="23" fillId="12" borderId="26" xfId="0" applyNumberFormat="1" applyFont="1" applyFill="1" applyBorder="1" applyAlignment="1">
      <alignment horizontal="right"/>
    </xf>
    <xf numFmtId="0" fontId="0" fillId="0" borderId="28" xfId="0" applyBorder="1"/>
    <xf numFmtId="3" fontId="20" fillId="13" borderId="9" xfId="0" applyNumberFormat="1" applyFont="1" applyFill="1" applyBorder="1" applyAlignment="1">
      <alignment horizontal="right" vertical="center"/>
    </xf>
    <xf numFmtId="3" fontId="20" fillId="14" borderId="9" xfId="0" applyNumberFormat="1" applyFont="1" applyFill="1" applyBorder="1" applyAlignment="1">
      <alignment horizontal="right" vertical="center"/>
    </xf>
    <xf numFmtId="0" fontId="23" fillId="15" borderId="3" xfId="0" applyFont="1" applyFill="1" applyBorder="1" applyAlignment="1">
      <alignment horizontal="left" vertical="center" wrapText="1"/>
    </xf>
    <xf numFmtId="0" fontId="23" fillId="15" borderId="9" xfId="0" applyFont="1" applyFill="1" applyBorder="1" applyAlignment="1">
      <alignment horizontal="left" vertical="center" wrapText="1"/>
    </xf>
    <xf numFmtId="3" fontId="20" fillId="15" borderId="9" xfId="0" applyNumberFormat="1" applyFont="1" applyFill="1" applyBorder="1" applyAlignment="1">
      <alignment horizontal="right" vertical="center"/>
    </xf>
    <xf numFmtId="49" fontId="23" fillId="15" borderId="9" xfId="0" applyNumberFormat="1" applyFont="1" applyFill="1" applyBorder="1" applyAlignment="1">
      <alignment horizontal="center" vertical="center"/>
    </xf>
    <xf numFmtId="4" fontId="23" fillId="15" borderId="9" xfId="0" applyNumberFormat="1" applyFont="1" applyFill="1" applyBorder="1" applyAlignment="1">
      <alignment horizontal="right" vertical="center"/>
    </xf>
    <xf numFmtId="9" fontId="23" fillId="15" borderId="9" xfId="0" applyNumberFormat="1" applyFont="1" applyFill="1" applyBorder="1" applyAlignment="1">
      <alignment horizontal="center" vertical="center"/>
    </xf>
    <xf numFmtId="3" fontId="23" fillId="15" borderId="9" xfId="0" applyNumberFormat="1" applyFont="1" applyFill="1" applyBorder="1" applyAlignment="1">
      <alignment horizontal="right"/>
    </xf>
    <xf numFmtId="3" fontId="23" fillId="15" borderId="26" xfId="0" applyNumberFormat="1" applyFont="1" applyFill="1" applyBorder="1" applyAlignment="1">
      <alignment horizontal="right"/>
    </xf>
    <xf numFmtId="0" fontId="23" fillId="16" borderId="3" xfId="0" applyFont="1" applyFill="1" applyBorder="1" applyAlignment="1">
      <alignment horizontal="left" vertical="center" wrapText="1"/>
    </xf>
    <xf numFmtId="0" fontId="23" fillId="16" borderId="9" xfId="0" applyFont="1" applyFill="1" applyBorder="1" applyAlignment="1">
      <alignment horizontal="left" vertical="center" wrapText="1"/>
    </xf>
    <xf numFmtId="3" fontId="20" fillId="16" borderId="9" xfId="0" applyNumberFormat="1" applyFont="1" applyFill="1" applyBorder="1" applyAlignment="1">
      <alignment horizontal="right" vertical="center"/>
    </xf>
    <xf numFmtId="49" fontId="23" fillId="16" borderId="9" xfId="0" applyNumberFormat="1" applyFont="1" applyFill="1" applyBorder="1" applyAlignment="1">
      <alignment horizontal="center" vertical="center"/>
    </xf>
    <xf numFmtId="4" fontId="23" fillId="16" borderId="9" xfId="0" applyNumberFormat="1" applyFont="1" applyFill="1" applyBorder="1" applyAlignment="1">
      <alignment horizontal="right" vertical="center"/>
    </xf>
    <xf numFmtId="9" fontId="23" fillId="16" borderId="9" xfId="0" applyNumberFormat="1" applyFont="1" applyFill="1" applyBorder="1" applyAlignment="1">
      <alignment horizontal="center" vertical="center"/>
    </xf>
    <xf numFmtId="3" fontId="23" fillId="16" borderId="9" xfId="0" applyNumberFormat="1" applyFont="1" applyFill="1" applyBorder="1" applyAlignment="1">
      <alignment horizontal="right"/>
    </xf>
    <xf numFmtId="3" fontId="23" fillId="16" borderId="26" xfId="0" applyNumberFormat="1" applyFont="1" applyFill="1" applyBorder="1" applyAlignment="1">
      <alignment horizontal="right"/>
    </xf>
    <xf numFmtId="0" fontId="23" fillId="17" borderId="3" xfId="0" applyFont="1" applyFill="1" applyBorder="1" applyAlignment="1">
      <alignment horizontal="left" vertical="center" wrapText="1"/>
    </xf>
    <xf numFmtId="0" fontId="23" fillId="17" borderId="9" xfId="0" applyFont="1" applyFill="1" applyBorder="1" applyAlignment="1">
      <alignment horizontal="left" vertical="center" wrapText="1"/>
    </xf>
    <xf numFmtId="3" fontId="20" fillId="17" borderId="9" xfId="0" applyNumberFormat="1" applyFont="1" applyFill="1" applyBorder="1" applyAlignment="1">
      <alignment horizontal="right" vertical="center"/>
    </xf>
    <xf numFmtId="49" fontId="23" fillId="17" borderId="9" xfId="0" applyNumberFormat="1" applyFont="1" applyFill="1" applyBorder="1" applyAlignment="1">
      <alignment horizontal="center" vertical="center"/>
    </xf>
    <xf numFmtId="4" fontId="23" fillId="17" borderId="9" xfId="0" applyNumberFormat="1" applyFont="1" applyFill="1" applyBorder="1" applyAlignment="1">
      <alignment horizontal="right" vertical="center"/>
    </xf>
    <xf numFmtId="9" fontId="23" fillId="17" borderId="9" xfId="0" applyNumberFormat="1" applyFont="1" applyFill="1" applyBorder="1" applyAlignment="1">
      <alignment horizontal="center" vertical="center"/>
    </xf>
    <xf numFmtId="3" fontId="23" fillId="17" borderId="9" xfId="0" applyNumberFormat="1" applyFont="1" applyFill="1" applyBorder="1" applyAlignment="1">
      <alignment horizontal="right"/>
    </xf>
    <xf numFmtId="3" fontId="23" fillId="17" borderId="26" xfId="0" applyNumberFormat="1" applyFont="1" applyFill="1" applyBorder="1" applyAlignment="1">
      <alignment horizontal="right"/>
    </xf>
    <xf numFmtId="0" fontId="20" fillId="0" borderId="28" xfId="0" applyFont="1" applyBorder="1" applyAlignment="1">
      <alignment horizontal="center" vertical="top" wrapText="1"/>
    </xf>
    <xf numFmtId="49" fontId="23" fillId="16" borderId="3" xfId="0" applyNumberFormat="1" applyFont="1" applyFill="1" applyBorder="1" applyAlignment="1">
      <alignment horizontal="left" vertical="center" wrapText="1"/>
    </xf>
    <xf numFmtId="4" fontId="20" fillId="16" borderId="9" xfId="0" applyNumberFormat="1" applyFont="1" applyFill="1" applyBorder="1" applyAlignment="1">
      <alignment horizontal="right" vertical="center"/>
    </xf>
    <xf numFmtId="49" fontId="23" fillId="17" borderId="3" xfId="0" applyNumberFormat="1" applyFont="1" applyFill="1" applyBorder="1" applyAlignment="1">
      <alignment horizontal="left" vertical="center" wrapText="1"/>
    </xf>
    <xf numFmtId="4" fontId="20" fillId="17" borderId="9" xfId="0" applyNumberFormat="1" applyFont="1" applyFill="1" applyBorder="1" applyAlignment="1">
      <alignment horizontal="right" vertical="center"/>
    </xf>
    <xf numFmtId="49" fontId="23" fillId="12" borderId="3" xfId="0" applyNumberFormat="1" applyFont="1" applyFill="1" applyBorder="1" applyAlignment="1">
      <alignment horizontal="left" vertical="center" wrapText="1"/>
    </xf>
    <xf numFmtId="4" fontId="20" fillId="12" borderId="9" xfId="0" applyNumberFormat="1" applyFont="1" applyFill="1" applyBorder="1" applyAlignment="1">
      <alignment horizontal="right" vertical="center"/>
    </xf>
    <xf numFmtId="49" fontId="23" fillId="13" borderId="3" xfId="0" applyNumberFormat="1" applyFont="1" applyFill="1" applyBorder="1" applyAlignment="1">
      <alignment horizontal="left" vertical="center" wrapText="1"/>
    </xf>
    <xf numFmtId="49" fontId="23" fillId="14" borderId="3" xfId="0" applyNumberFormat="1" applyFont="1" applyFill="1" applyBorder="1" applyAlignment="1">
      <alignment horizontal="left" vertical="center" wrapText="1"/>
    </xf>
    <xf numFmtId="49" fontId="23" fillId="15" borderId="3" xfId="0" applyNumberFormat="1" applyFont="1" applyFill="1" applyBorder="1" applyAlignment="1">
      <alignment horizontal="left" vertical="center" wrapText="1"/>
    </xf>
    <xf numFmtId="4" fontId="20" fillId="15" borderId="9" xfId="0" applyNumberFormat="1" applyFont="1" applyFill="1" applyBorder="1" applyAlignment="1">
      <alignment horizontal="right" vertical="center"/>
    </xf>
    <xf numFmtId="0" fontId="20" fillId="0" borderId="28" xfId="0" applyFont="1" applyBorder="1" applyAlignment="1">
      <alignment horizontal="center" vertical="center" wrapText="1"/>
    </xf>
    <xf numFmtId="0" fontId="22" fillId="17" borderId="29" xfId="0" applyFont="1" applyFill="1" applyBorder="1" applyAlignment="1">
      <alignment horizontal="centerContinuous" vertical="center" wrapText="1"/>
    </xf>
    <xf numFmtId="0" fontId="22" fillId="17" borderId="16" xfId="0" applyFont="1" applyFill="1" applyBorder="1" applyAlignment="1">
      <alignment horizontal="centerContinuous" vertical="center" wrapText="1"/>
    </xf>
    <xf numFmtId="3" fontId="19" fillId="17" borderId="14" xfId="0" applyNumberFormat="1" applyFont="1" applyFill="1" applyBorder="1" applyAlignment="1">
      <alignment horizontal="right" vertical="center"/>
    </xf>
    <xf numFmtId="3" fontId="19" fillId="17" borderId="30" xfId="0" applyNumberFormat="1" applyFont="1" applyFill="1" applyBorder="1" applyAlignment="1">
      <alignment horizontal="right" vertical="center"/>
    </xf>
    <xf numFmtId="0" fontId="24" fillId="12" borderId="31" xfId="0" applyFont="1" applyFill="1" applyBorder="1" applyAlignment="1">
      <alignment horizontal="centerContinuous" vertical="center"/>
    </xf>
    <xf numFmtId="0" fontId="24" fillId="12" borderId="2" xfId="0" applyFont="1" applyFill="1" applyBorder="1" applyAlignment="1">
      <alignment horizontal="centerContinuous" vertical="center"/>
    </xf>
    <xf numFmtId="3" fontId="25" fillId="12" borderId="9" xfId="0" applyNumberFormat="1" applyFont="1" applyFill="1" applyBorder="1" applyAlignment="1">
      <alignment horizontal="right" vertical="center"/>
    </xf>
    <xf numFmtId="3" fontId="25" fillId="12" borderId="32" xfId="0" applyNumberFormat="1" applyFont="1" applyFill="1" applyBorder="1" applyAlignment="1">
      <alignment horizontal="right" vertical="center"/>
    </xf>
    <xf numFmtId="0" fontId="22" fillId="13" borderId="33" xfId="0" applyFont="1" applyFill="1" applyBorder="1" applyAlignment="1">
      <alignment horizontal="centerContinuous" vertical="center" wrapText="1"/>
    </xf>
    <xf numFmtId="0" fontId="22" fillId="13" borderId="34" xfId="0" applyFont="1" applyFill="1" applyBorder="1" applyAlignment="1">
      <alignment horizontal="centerContinuous" vertical="center" wrapText="1"/>
    </xf>
    <xf numFmtId="3" fontId="19" fillId="13" borderId="35" xfId="0" applyNumberFormat="1" applyFont="1" applyFill="1" applyBorder="1" applyAlignment="1">
      <alignment horizontal="right" vertical="center"/>
    </xf>
    <xf numFmtId="3" fontId="19" fillId="13" borderId="36" xfId="0" applyNumberFormat="1" applyFont="1" applyFill="1" applyBorder="1" applyAlignment="1">
      <alignment horizontal="right" vertical="center"/>
    </xf>
    <xf numFmtId="0" fontId="23" fillId="0" borderId="0" xfId="0" applyFont="1" applyAlignment="1">
      <alignment horizontal="right"/>
    </xf>
    <xf numFmtId="0" fontId="25" fillId="0" borderId="0" xfId="0" applyFont="1" applyAlignment="1">
      <alignment horizontal="centerContinuous" vertical="center" wrapText="1"/>
    </xf>
    <xf numFmtId="0" fontId="24" fillId="0" borderId="0" xfId="0" applyFont="1" applyAlignment="1">
      <alignment horizontal="centerContinuous" vertical="center" wrapText="1"/>
    </xf>
  </cellXfs>
  <cellStyles count="2">
    <cellStyle name="Normal" xfId="0" builtinId="0"/>
    <cellStyle name="Normal 2" xfId="1" xr:uid="{68120165-7BF3-4900-B234-3AEFA707DA54}"/>
  </cellStyles>
  <dxfs count="53">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
      <fill>
        <patternFill>
          <bgColor rgb="FFFA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8F6C-A702-4837-9439-D1D86971578E}">
  <sheetPr>
    <tabColor rgb="FF92D050"/>
  </sheetPr>
  <dimension ref="A1:O492"/>
  <sheetViews>
    <sheetView showGridLines="0" tabSelected="1" zoomScaleNormal="100" zoomScaleSheetLayoutView="100" workbookViewId="0">
      <selection activeCell="D10" sqref="D10"/>
    </sheetView>
  </sheetViews>
  <sheetFormatPr defaultColWidth="0" defaultRowHeight="15.6" zeroHeight="1" x14ac:dyDescent="0.3"/>
  <cols>
    <col min="1" max="2" width="10.6640625" style="242" customWidth="1"/>
    <col min="3" max="3" width="60.6640625" style="237" customWidth="1"/>
    <col min="4" max="4" width="10.6640625" style="243" customWidth="1"/>
    <col min="5" max="5" width="10.77734375" style="243" customWidth="1"/>
    <col min="6" max="6" width="10.77734375" style="244" customWidth="1"/>
    <col min="7" max="7" width="10.77734375" style="243" customWidth="1"/>
    <col min="8" max="8" width="10.77734375" style="244" customWidth="1"/>
    <col min="9" max="9" width="10.77734375" style="264" customWidth="1"/>
    <col min="10" max="10" width="10.77734375" style="237" customWidth="1"/>
    <col min="11" max="11" width="10.77734375" style="242" customWidth="1"/>
    <col min="12" max="12" width="11.77734375" style="265" customWidth="1"/>
    <col min="13" max="13" width="12.77734375" style="4" customWidth="1"/>
    <col min="14" max="14" width="5.77734375" style="4" customWidth="1"/>
    <col min="15" max="15" width="9.6640625" style="4" hidden="1" customWidth="1"/>
    <col min="16" max="16384" width="9.109375" style="4" hidden="1"/>
  </cols>
  <sheetData>
    <row r="1" spans="1:12" x14ac:dyDescent="0.3">
      <c r="A1" s="1" t="s">
        <v>0</v>
      </c>
      <c r="B1" s="2"/>
      <c r="C1" s="2"/>
      <c r="D1" s="2"/>
      <c r="E1" s="2"/>
      <c r="F1" s="2"/>
      <c r="G1" s="2"/>
      <c r="H1" s="2"/>
      <c r="I1" s="2"/>
      <c r="J1" s="2"/>
      <c r="K1" s="2"/>
      <c r="L1" s="3"/>
    </row>
    <row r="2" spans="1:12" x14ac:dyDescent="0.3">
      <c r="A2" s="1"/>
      <c r="B2" s="2"/>
      <c r="C2" s="2"/>
      <c r="D2" s="2"/>
      <c r="E2" s="2"/>
      <c r="F2" s="2"/>
      <c r="G2" s="2"/>
      <c r="H2" s="2"/>
      <c r="I2" s="2"/>
      <c r="J2" s="2"/>
      <c r="K2" s="2"/>
      <c r="L2" s="3"/>
    </row>
    <row r="3" spans="1:12" ht="16.2" thickBot="1" x14ac:dyDescent="0.35">
      <c r="A3" s="5"/>
      <c r="B3" s="6"/>
      <c r="C3" s="6"/>
      <c r="D3" s="6"/>
      <c r="E3" s="6"/>
      <c r="F3" s="6"/>
      <c r="G3" s="6"/>
      <c r="H3" s="6"/>
      <c r="I3" s="6"/>
      <c r="J3" s="6"/>
      <c r="K3" s="6"/>
      <c r="L3" s="7"/>
    </row>
    <row r="4" spans="1:12" s="12" customFormat="1" ht="35.4" thickTop="1" x14ac:dyDescent="0.3">
      <c r="A4" s="8" t="s">
        <v>1</v>
      </c>
      <c r="B4" s="9" t="s">
        <v>2</v>
      </c>
      <c r="C4" s="8" t="s">
        <v>3</v>
      </c>
      <c r="D4" s="8" t="s">
        <v>4</v>
      </c>
      <c r="E4" s="8" t="s">
        <v>5</v>
      </c>
      <c r="F4" s="10" t="s">
        <v>6</v>
      </c>
      <c r="G4" s="8" t="s">
        <v>7</v>
      </c>
      <c r="H4" s="10" t="s">
        <v>8</v>
      </c>
      <c r="I4" s="8" t="s">
        <v>9</v>
      </c>
      <c r="J4" s="8" t="s">
        <v>10</v>
      </c>
      <c r="K4" s="8" t="s">
        <v>11</v>
      </c>
      <c r="L4" s="11" t="s">
        <v>12</v>
      </c>
    </row>
    <row r="5" spans="1:12" ht="41.4" x14ac:dyDescent="0.3">
      <c r="A5" s="13">
        <f>IFERROR(LOOKUP(2,1/(ISNUMBER($A$4:$A$4)),$A$4:$A$4),0)+1</f>
        <v>1</v>
      </c>
      <c r="B5" s="14" t="s">
        <v>13</v>
      </c>
      <c r="C5" s="15" t="s">
        <v>14</v>
      </c>
      <c r="D5" s="16"/>
      <c r="E5" s="17"/>
      <c r="F5" s="18"/>
      <c r="G5" s="17"/>
      <c r="H5" s="18"/>
      <c r="I5" s="19"/>
      <c r="J5" s="20"/>
      <c r="K5" s="21"/>
      <c r="L5" s="22"/>
    </row>
    <row r="6" spans="1:12" x14ac:dyDescent="0.3">
      <c r="A6" s="23"/>
      <c r="B6" s="24"/>
      <c r="C6" s="25"/>
      <c r="D6" s="26">
        <v>1</v>
      </c>
      <c r="E6" s="26">
        <v>20</v>
      </c>
      <c r="F6" s="27">
        <v>15</v>
      </c>
      <c r="G6" s="26"/>
      <c r="H6" s="28">
        <f>D6*IF(OR(E6=0,E6="-"),1,E6)*IF(OR(F6=0,F6="-"),1,F6)*IF(OR(G6=0,G6="-"),1,G6)</f>
        <v>300</v>
      </c>
      <c r="I6" s="29" t="s">
        <v>15</v>
      </c>
      <c r="J6" s="30"/>
      <c r="K6" s="31"/>
      <c r="L6" s="32"/>
    </row>
    <row r="7" spans="1:12" x14ac:dyDescent="0.3">
      <c r="A7" s="33"/>
      <c r="B7" s="34"/>
      <c r="C7" s="35"/>
      <c r="D7" s="36"/>
      <c r="E7" s="36"/>
      <c r="F7" s="37" t="s">
        <v>16</v>
      </c>
      <c r="G7" s="37"/>
      <c r="H7" s="38">
        <f>SUM(H6:H6)</f>
        <v>300</v>
      </c>
      <c r="I7" s="39" t="s">
        <v>15</v>
      </c>
      <c r="J7" s="40"/>
      <c r="K7" s="41" t="str">
        <f>""</f>
        <v/>
      </c>
      <c r="L7" s="42"/>
    </row>
    <row r="8" spans="1:12" ht="31.2" x14ac:dyDescent="0.3">
      <c r="A8" s="43"/>
      <c r="B8" s="44"/>
      <c r="C8" s="45"/>
      <c r="D8" s="46"/>
      <c r="E8" s="47" t="s">
        <v>17</v>
      </c>
      <c r="F8" s="47"/>
      <c r="G8" s="47"/>
      <c r="H8" s="48">
        <f>ROUND(H7*0.0929,3)</f>
        <v>27.87</v>
      </c>
      <c r="I8" s="49" t="s">
        <v>18</v>
      </c>
      <c r="J8" s="50" t="s">
        <v>19</v>
      </c>
      <c r="K8" s="51">
        <f>IF(B5="4.2",_xlfn.IFS(J8="Labour Rate",3,J8="Through Rate",3,TRUE,""),"")</f>
        <v>3</v>
      </c>
      <c r="L8" s="52">
        <f>IF(H8*K8&lt;&gt;0,H8*K8,0)</f>
        <v>83.61</v>
      </c>
    </row>
    <row r="9" spans="1:12" ht="14.1" customHeight="1" x14ac:dyDescent="0.3">
      <c r="A9" s="53"/>
      <c r="B9" s="54"/>
      <c r="C9" s="55"/>
      <c r="D9" s="56" t="s">
        <v>20</v>
      </c>
      <c r="E9" s="56"/>
      <c r="F9" s="57"/>
      <c r="G9" s="56"/>
      <c r="H9" s="57"/>
      <c r="I9" s="58"/>
      <c r="J9" s="59"/>
      <c r="K9" s="60"/>
      <c r="L9" s="61"/>
    </row>
    <row r="10" spans="1:12" ht="81" x14ac:dyDescent="0.3">
      <c r="A10" s="13">
        <f>IFERROR(LOOKUP(2,1/(ISNUMBER($A$4:$A$9)),$A$4:$A$9),0)+1</f>
        <v>2</v>
      </c>
      <c r="B10" s="62" t="s">
        <v>21</v>
      </c>
      <c r="C10" s="63" t="s">
        <v>22</v>
      </c>
      <c r="D10" s="16"/>
      <c r="E10" s="17"/>
      <c r="F10" s="18"/>
      <c r="G10" s="17"/>
      <c r="H10" s="18"/>
      <c r="I10" s="19"/>
      <c r="J10" s="20"/>
      <c r="K10" s="21"/>
      <c r="L10" s="22"/>
    </row>
    <row r="11" spans="1:12" x14ac:dyDescent="0.3">
      <c r="A11" s="23"/>
      <c r="B11" s="24"/>
      <c r="C11" s="25" t="s">
        <v>23</v>
      </c>
      <c r="D11" s="26">
        <v>3</v>
      </c>
      <c r="E11" s="26">
        <f>(3-0.75)+11.25</f>
        <v>13.5</v>
      </c>
      <c r="F11" s="27">
        <v>3</v>
      </c>
      <c r="G11" s="26">
        <v>3</v>
      </c>
      <c r="H11" s="28">
        <f>D11*IF(OR(E11=0,E11="-"),1,E11)*IF(OR(F11=0,F11="-"),1,F11)*IF(OR(G11=0,G11="-"),1,G11)</f>
        <v>364.5</v>
      </c>
      <c r="I11" s="29" t="s">
        <v>24</v>
      </c>
      <c r="J11" s="30"/>
      <c r="K11" s="31"/>
      <c r="L11" s="32"/>
    </row>
    <row r="12" spans="1:12" x14ac:dyDescent="0.3">
      <c r="A12" s="23"/>
      <c r="B12" s="24"/>
      <c r="C12" s="25"/>
      <c r="D12" s="26">
        <v>4</v>
      </c>
      <c r="E12" s="26">
        <f>4-(3-0.75)</f>
        <v>1.75</v>
      </c>
      <c r="F12" s="27">
        <v>3</v>
      </c>
      <c r="G12" s="26">
        <v>3</v>
      </c>
      <c r="H12" s="28">
        <f>D12*IF(OR(E12=0,E12="-"),1,E12)*IF(OR(F12=0,F12="-"),1,F12)*IF(OR(G12=0,G12="-"),1,G12)</f>
        <v>63</v>
      </c>
      <c r="I12" s="29" t="s">
        <v>24</v>
      </c>
      <c r="J12" s="30"/>
      <c r="K12" s="31"/>
      <c r="L12" s="32"/>
    </row>
    <row r="13" spans="1:12" x14ac:dyDescent="0.3">
      <c r="A13" s="23"/>
      <c r="B13" s="24"/>
      <c r="C13" s="25"/>
      <c r="D13" s="26">
        <v>2</v>
      </c>
      <c r="E13" s="26">
        <f>3-(3-0.75)</f>
        <v>0.75</v>
      </c>
      <c r="F13" s="27">
        <v>3</v>
      </c>
      <c r="G13" s="26">
        <v>3</v>
      </c>
      <c r="H13" s="28">
        <f>D13*IF(OR(E13=0,E13="-"),1,E13)*IF(OR(F13=0,F13="-"),1,F13)*IF(OR(G13=0,G13="-"),1,G13)</f>
        <v>13.5</v>
      </c>
      <c r="I13" s="29" t="s">
        <v>24</v>
      </c>
      <c r="J13" s="30"/>
      <c r="K13" s="31"/>
      <c r="L13" s="32"/>
    </row>
    <row r="14" spans="1:12" x14ac:dyDescent="0.3">
      <c r="A14" s="23"/>
      <c r="B14" s="24"/>
      <c r="C14" s="26" t="s">
        <v>25</v>
      </c>
      <c r="D14" s="26">
        <v>1</v>
      </c>
      <c r="E14" s="26">
        <f>2.5+2.5+2.5+0.75+1.5</f>
        <v>9.75</v>
      </c>
      <c r="F14" s="27">
        <f>5.5</f>
        <v>5.5</v>
      </c>
      <c r="G14" s="26">
        <v>5</v>
      </c>
      <c r="H14" s="28">
        <f>D14*IF(OR(E14=0,E14="-"),1,E14)*IF(OR(F14=0,F14="-"),1,F14)*IF(OR(G14=0,G14="-"),1,G14)</f>
        <v>268.125</v>
      </c>
      <c r="I14" s="29" t="s">
        <v>24</v>
      </c>
      <c r="J14" s="30"/>
      <c r="K14" s="31"/>
      <c r="L14" s="32"/>
    </row>
    <row r="15" spans="1:12" s="64" customFormat="1" x14ac:dyDescent="0.3">
      <c r="A15" s="33"/>
      <c r="B15" s="34"/>
      <c r="C15" s="35"/>
      <c r="D15" s="36"/>
      <c r="E15" s="36"/>
      <c r="F15" s="37" t="s">
        <v>26</v>
      </c>
      <c r="G15" s="37"/>
      <c r="H15" s="38">
        <f>SUM(H11:H14)</f>
        <v>709.125</v>
      </c>
      <c r="I15" s="39" t="s">
        <v>24</v>
      </c>
      <c r="J15" s="40"/>
      <c r="K15" s="41" t="str">
        <f>""</f>
        <v/>
      </c>
      <c r="L15" s="42"/>
    </row>
    <row r="16" spans="1:12" ht="31.2" x14ac:dyDescent="0.3">
      <c r="A16" s="43"/>
      <c r="B16" s="44"/>
      <c r="C16" s="45"/>
      <c r="D16" s="46"/>
      <c r="E16" s="47" t="s">
        <v>27</v>
      </c>
      <c r="F16" s="47"/>
      <c r="G16" s="47"/>
      <c r="H16" s="48">
        <f>ROUND(H15*0.0283,3)</f>
        <v>20.068000000000001</v>
      </c>
      <c r="I16" s="49" t="s">
        <v>28</v>
      </c>
      <c r="J16" s="50" t="s">
        <v>19</v>
      </c>
      <c r="K16" s="51">
        <f>IF(B10="4.12.1",_xlfn.IFS(J16="Labour Rate",15,J16="Machinery Rate",62,J16="Through Rate",78,TRUE,""),"")</f>
        <v>78</v>
      </c>
      <c r="L16" s="52">
        <f>IF(H16*K16&lt;&gt;0,H16*K16,0)</f>
        <v>1565.3040000000001</v>
      </c>
    </row>
    <row r="17" spans="1:12" ht="14.1" customHeight="1" x14ac:dyDescent="0.3">
      <c r="A17" s="53"/>
      <c r="B17" s="54"/>
      <c r="C17" s="55"/>
      <c r="D17" s="56"/>
      <c r="E17" s="56"/>
      <c r="F17" s="57"/>
      <c r="G17" s="56"/>
      <c r="H17" s="57"/>
      <c r="I17" s="58"/>
      <c r="J17" s="59"/>
      <c r="K17" s="60"/>
      <c r="L17" s="61"/>
    </row>
    <row r="18" spans="1:12" ht="79.2" x14ac:dyDescent="0.3">
      <c r="A18" s="13">
        <f>IFERROR(LOOKUP(2,1/(ISNUMBER($A$4:$A$17)),$A$4:$A$17),0)+1</f>
        <v>3</v>
      </c>
      <c r="B18" s="62" t="s">
        <v>29</v>
      </c>
      <c r="C18" s="15" t="s">
        <v>30</v>
      </c>
      <c r="D18" s="16"/>
      <c r="E18" s="17"/>
      <c r="F18" s="18"/>
      <c r="G18" s="17"/>
      <c r="H18" s="18"/>
      <c r="I18" s="19"/>
      <c r="J18" s="20"/>
      <c r="K18" s="21"/>
      <c r="L18" s="22"/>
    </row>
    <row r="19" spans="1:12" x14ac:dyDescent="0.3">
      <c r="A19" s="23"/>
      <c r="B19" s="24"/>
      <c r="C19" s="25"/>
      <c r="D19" s="26">
        <v>3</v>
      </c>
      <c r="E19" s="26">
        <f>(3-0.75)+11.25</f>
        <v>13.5</v>
      </c>
      <c r="F19" s="27">
        <v>3</v>
      </c>
      <c r="G19" s="26">
        <v>0.5</v>
      </c>
      <c r="H19" s="28">
        <f>D19*IF(OR(E19=0,E19="-"),1,E19)*IF(OR(F19=0,F19="-"),1,F19)*IF(OR(G19=0,G19="-"),1,G19)</f>
        <v>60.75</v>
      </c>
      <c r="I19" s="29" t="s">
        <v>24</v>
      </c>
      <c r="J19" s="30"/>
      <c r="K19" s="31"/>
      <c r="L19" s="32"/>
    </row>
    <row r="20" spans="1:12" x14ac:dyDescent="0.3">
      <c r="A20" s="23"/>
      <c r="B20" s="24"/>
      <c r="C20" s="25"/>
      <c r="D20" s="26">
        <v>4</v>
      </c>
      <c r="E20" s="26">
        <f>4-(3-0.75)</f>
        <v>1.75</v>
      </c>
      <c r="F20" s="27">
        <v>3</v>
      </c>
      <c r="G20" s="26">
        <v>0.5</v>
      </c>
      <c r="H20" s="28">
        <f>D20*IF(OR(E20=0,E20="-"),1,E20)*IF(OR(F20=0,F20="-"),1,F20)*IF(OR(G20=0,G20="-"),1,G20)</f>
        <v>10.5</v>
      </c>
      <c r="I20" s="29" t="s">
        <v>24</v>
      </c>
      <c r="J20" s="30"/>
      <c r="K20" s="31"/>
      <c r="L20" s="32"/>
    </row>
    <row r="21" spans="1:12" x14ac:dyDescent="0.3">
      <c r="A21" s="23"/>
      <c r="B21" s="24"/>
      <c r="C21" s="25"/>
      <c r="D21" s="26">
        <v>2</v>
      </c>
      <c r="E21" s="26">
        <f>3-(3-0.75)</f>
        <v>0.75</v>
      </c>
      <c r="F21" s="27">
        <v>3</v>
      </c>
      <c r="G21" s="26">
        <v>0.5</v>
      </c>
      <c r="H21" s="28">
        <f>D21*IF(OR(E21=0,E21="-"),1,E21)*IF(OR(F21=0,F21="-"),1,F21)*IF(OR(G21=0,G21="-"),1,G21)</f>
        <v>2.25</v>
      </c>
      <c r="I21" s="29" t="s">
        <v>24</v>
      </c>
      <c r="J21" s="30"/>
      <c r="K21" s="31"/>
      <c r="L21" s="32"/>
    </row>
    <row r="22" spans="1:12" x14ac:dyDescent="0.3">
      <c r="A22" s="33"/>
      <c r="B22" s="34"/>
      <c r="C22" s="35"/>
      <c r="D22" s="36"/>
      <c r="E22" s="36"/>
      <c r="F22" s="37" t="s">
        <v>26</v>
      </c>
      <c r="G22" s="37"/>
      <c r="H22" s="38">
        <f>SUM(H19:H21)</f>
        <v>73.5</v>
      </c>
      <c r="I22" s="39" t="s">
        <v>24</v>
      </c>
      <c r="J22" s="40"/>
      <c r="K22" s="41" t="str">
        <f>""</f>
        <v/>
      </c>
      <c r="L22" s="42"/>
    </row>
    <row r="23" spans="1:12" ht="31.2" x14ac:dyDescent="0.3">
      <c r="A23" s="43"/>
      <c r="B23" s="44"/>
      <c r="C23" s="45"/>
      <c r="D23" s="46"/>
      <c r="E23" s="47" t="s">
        <v>27</v>
      </c>
      <c r="F23" s="47"/>
      <c r="G23" s="47"/>
      <c r="H23" s="48">
        <f>ROUND(H22*0.0283,3)</f>
        <v>2.08</v>
      </c>
      <c r="I23" s="49" t="s">
        <v>28</v>
      </c>
      <c r="J23" s="50" t="s">
        <v>19</v>
      </c>
      <c r="K23" s="51">
        <f>IF(B18="6.1.6",_xlfn.IFS(J23="Labour Rate",496,J23="Material Rate",1947,J23="Through Rate",2442,TRUE,""),"")</f>
        <v>2442</v>
      </c>
      <c r="L23" s="52">
        <f>IF(H23*K23&lt;&gt;0,H23*K23,0)</f>
        <v>5079.3600000000006</v>
      </c>
    </row>
    <row r="24" spans="1:12" ht="14.1" customHeight="1" x14ac:dyDescent="0.3">
      <c r="A24" s="53"/>
      <c r="B24" s="54"/>
      <c r="C24" s="55"/>
      <c r="D24" s="56"/>
      <c r="E24" s="56"/>
      <c r="F24" s="57"/>
      <c r="G24" s="56"/>
      <c r="H24" s="57"/>
      <c r="I24" s="58"/>
      <c r="J24" s="59"/>
      <c r="K24" s="60"/>
      <c r="L24" s="61"/>
    </row>
    <row r="25" spans="1:12" ht="39.6" x14ac:dyDescent="0.3">
      <c r="A25" s="13">
        <f>IFERROR(LOOKUP(2,1/(ISNUMBER($A$4:$A$24)),$A$4:$A$24),0)+1</f>
        <v>4</v>
      </c>
      <c r="B25" s="14" t="s">
        <v>31</v>
      </c>
      <c r="C25" s="15" t="s">
        <v>32</v>
      </c>
      <c r="D25" s="16"/>
      <c r="E25" s="17"/>
      <c r="F25" s="18"/>
      <c r="G25" s="17"/>
      <c r="H25" s="18"/>
      <c r="I25" s="19"/>
      <c r="J25" s="20"/>
      <c r="K25" s="21"/>
      <c r="L25" s="22"/>
    </row>
    <row r="26" spans="1:12" x14ac:dyDescent="0.3">
      <c r="A26" s="23"/>
      <c r="B26" s="24"/>
      <c r="C26" s="25"/>
      <c r="D26" s="26">
        <v>3</v>
      </c>
      <c r="E26" s="26">
        <f>(2.25-0.75)+11.25</f>
        <v>12.75</v>
      </c>
      <c r="F26" s="27">
        <v>2.25</v>
      </c>
      <c r="G26" s="26">
        <v>0.5</v>
      </c>
      <c r="H26" s="28">
        <f t="shared" ref="H26:H47" si="0">D26*IF(OR(E26=0,E26="-"),1,E26)*IF(OR(F26=0,F26="-"),1,F26)*IF(OR(G26=0,G26="-"),1,G26)</f>
        <v>43.03125</v>
      </c>
      <c r="I26" s="29" t="s">
        <v>24</v>
      </c>
      <c r="J26" s="30"/>
      <c r="K26" s="31"/>
      <c r="L26" s="32"/>
    </row>
    <row r="27" spans="1:12" x14ac:dyDescent="0.3">
      <c r="A27" s="23"/>
      <c r="B27" s="24"/>
      <c r="C27" s="25"/>
      <c r="D27" s="26">
        <v>3</v>
      </c>
      <c r="E27" s="26">
        <f>E26-0.375</f>
        <v>12.375</v>
      </c>
      <c r="F27" s="27">
        <v>1.875</v>
      </c>
      <c r="G27" s="26">
        <v>0.5</v>
      </c>
      <c r="H27" s="28">
        <f t="shared" si="0"/>
        <v>34.8046875</v>
      </c>
      <c r="I27" s="29" t="s">
        <v>24</v>
      </c>
      <c r="J27" s="30"/>
      <c r="K27" s="31"/>
      <c r="L27" s="32"/>
    </row>
    <row r="28" spans="1:12" x14ac:dyDescent="0.3">
      <c r="A28" s="23"/>
      <c r="B28" s="24"/>
      <c r="C28" s="25"/>
      <c r="D28" s="26">
        <v>3</v>
      </c>
      <c r="E28" s="26">
        <f>E27-0.375</f>
        <v>12</v>
      </c>
      <c r="F28" s="27">
        <v>1.5</v>
      </c>
      <c r="G28" s="26">
        <v>0.5</v>
      </c>
      <c r="H28" s="28">
        <f t="shared" si="0"/>
        <v>27</v>
      </c>
      <c r="I28" s="29" t="s">
        <v>24</v>
      </c>
      <c r="J28" s="30"/>
      <c r="K28" s="31"/>
      <c r="L28" s="32"/>
    </row>
    <row r="29" spans="1:12" x14ac:dyDescent="0.3">
      <c r="A29" s="23"/>
      <c r="B29" s="24"/>
      <c r="C29" s="25"/>
      <c r="D29" s="26">
        <v>3</v>
      </c>
      <c r="E29" s="26">
        <f>E28-0.375</f>
        <v>11.625</v>
      </c>
      <c r="F29" s="27">
        <v>1.125</v>
      </c>
      <c r="G29" s="26">
        <v>1.5</v>
      </c>
      <c r="H29" s="28">
        <f t="shared" si="0"/>
        <v>58.8515625</v>
      </c>
      <c r="I29" s="29" t="s">
        <v>24</v>
      </c>
      <c r="J29" s="30"/>
      <c r="K29" s="31"/>
      <c r="L29" s="32"/>
    </row>
    <row r="30" spans="1:12" x14ac:dyDescent="0.3">
      <c r="A30" s="23"/>
      <c r="B30" s="24"/>
      <c r="C30" s="25"/>
      <c r="D30" s="26">
        <v>3</v>
      </c>
      <c r="E30" s="26">
        <f>E29-0.375</f>
        <v>11.25</v>
      </c>
      <c r="F30" s="27">
        <v>0.75</v>
      </c>
      <c r="G30" s="26">
        <v>1</v>
      </c>
      <c r="H30" s="28">
        <f t="shared" si="0"/>
        <v>25.3125</v>
      </c>
      <c r="I30" s="29" t="s">
        <v>24</v>
      </c>
      <c r="J30" s="30"/>
      <c r="K30" s="31"/>
      <c r="L30" s="32"/>
    </row>
    <row r="31" spans="1:12" x14ac:dyDescent="0.3">
      <c r="A31" s="23"/>
      <c r="B31" s="24"/>
      <c r="C31" s="25"/>
      <c r="D31" s="26">
        <v>4</v>
      </c>
      <c r="E31" s="26">
        <f>4-(2.25-0.75)</f>
        <v>2.5</v>
      </c>
      <c r="F31" s="27">
        <v>2.25</v>
      </c>
      <c r="G31" s="26">
        <v>0.5</v>
      </c>
      <c r="H31" s="28">
        <f t="shared" si="0"/>
        <v>11.25</v>
      </c>
      <c r="I31" s="29" t="s">
        <v>24</v>
      </c>
      <c r="J31" s="30"/>
      <c r="K31" s="31"/>
      <c r="L31" s="32"/>
    </row>
    <row r="32" spans="1:12" x14ac:dyDescent="0.3">
      <c r="A32" s="23"/>
      <c r="B32" s="24"/>
      <c r="C32" s="25"/>
      <c r="D32" s="26">
        <v>4</v>
      </c>
      <c r="E32" s="26">
        <f>E31+0.375</f>
        <v>2.875</v>
      </c>
      <c r="F32" s="27">
        <v>1.875</v>
      </c>
      <c r="G32" s="26">
        <v>0.5</v>
      </c>
      <c r="H32" s="28">
        <f t="shared" si="0"/>
        <v>10.78125</v>
      </c>
      <c r="I32" s="29" t="s">
        <v>24</v>
      </c>
      <c r="J32" s="30"/>
      <c r="K32" s="31"/>
      <c r="L32" s="32"/>
    </row>
    <row r="33" spans="1:12" x14ac:dyDescent="0.3">
      <c r="A33" s="23"/>
      <c r="B33" s="24"/>
      <c r="C33" s="25"/>
      <c r="D33" s="26">
        <v>4</v>
      </c>
      <c r="E33" s="26">
        <f>E32+0.375</f>
        <v>3.25</v>
      </c>
      <c r="F33" s="27">
        <v>1.5</v>
      </c>
      <c r="G33" s="26">
        <v>0.5</v>
      </c>
      <c r="H33" s="28">
        <f t="shared" si="0"/>
        <v>9.75</v>
      </c>
      <c r="I33" s="29" t="s">
        <v>24</v>
      </c>
      <c r="J33" s="30"/>
      <c r="K33" s="31"/>
      <c r="L33" s="32"/>
    </row>
    <row r="34" spans="1:12" x14ac:dyDescent="0.3">
      <c r="A34" s="23"/>
      <c r="B34" s="24"/>
      <c r="C34" s="25"/>
      <c r="D34" s="26">
        <v>4</v>
      </c>
      <c r="E34" s="26">
        <f>E33+0.375</f>
        <v>3.625</v>
      </c>
      <c r="F34" s="27">
        <v>1.125</v>
      </c>
      <c r="G34" s="26">
        <v>1.5</v>
      </c>
      <c r="H34" s="28">
        <f t="shared" si="0"/>
        <v>24.46875</v>
      </c>
      <c r="I34" s="29" t="s">
        <v>24</v>
      </c>
      <c r="J34" s="30"/>
      <c r="K34" s="31"/>
      <c r="L34" s="32"/>
    </row>
    <row r="35" spans="1:12" x14ac:dyDescent="0.3">
      <c r="A35" s="23"/>
      <c r="B35" s="24"/>
      <c r="C35" s="25"/>
      <c r="D35" s="26">
        <v>4</v>
      </c>
      <c r="E35" s="26">
        <f>E34+0.375</f>
        <v>4</v>
      </c>
      <c r="F35" s="27">
        <v>0.75</v>
      </c>
      <c r="G35" s="26">
        <v>1</v>
      </c>
      <c r="H35" s="28">
        <f t="shared" si="0"/>
        <v>12</v>
      </c>
      <c r="I35" s="29" t="s">
        <v>24</v>
      </c>
      <c r="J35" s="30"/>
      <c r="K35" s="31"/>
      <c r="L35" s="32"/>
    </row>
    <row r="36" spans="1:12" x14ac:dyDescent="0.3">
      <c r="A36" s="23"/>
      <c r="B36" s="24"/>
      <c r="C36" s="25"/>
      <c r="D36" s="26">
        <v>2</v>
      </c>
      <c r="E36" s="26">
        <f>3-(2.25-0.75)</f>
        <v>1.5</v>
      </c>
      <c r="F36" s="27">
        <v>2.25</v>
      </c>
      <c r="G36" s="26">
        <v>0.5</v>
      </c>
      <c r="H36" s="28">
        <f t="shared" si="0"/>
        <v>3.375</v>
      </c>
      <c r="I36" s="29" t="s">
        <v>24</v>
      </c>
      <c r="J36" s="30"/>
      <c r="K36" s="31"/>
      <c r="L36" s="32"/>
    </row>
    <row r="37" spans="1:12" x14ac:dyDescent="0.3">
      <c r="A37" s="23"/>
      <c r="B37" s="24"/>
      <c r="C37" s="25"/>
      <c r="D37" s="26">
        <v>2</v>
      </c>
      <c r="E37" s="26">
        <f>E36+0.375</f>
        <v>1.875</v>
      </c>
      <c r="F37" s="27">
        <v>1.875</v>
      </c>
      <c r="G37" s="26">
        <v>0.5</v>
      </c>
      <c r="H37" s="28">
        <f t="shared" si="0"/>
        <v>3.515625</v>
      </c>
      <c r="I37" s="29" t="s">
        <v>24</v>
      </c>
      <c r="J37" s="30"/>
      <c r="K37" s="31"/>
      <c r="L37" s="32"/>
    </row>
    <row r="38" spans="1:12" x14ac:dyDescent="0.3">
      <c r="A38" s="23"/>
      <c r="B38" s="24"/>
      <c r="C38" s="25"/>
      <c r="D38" s="26">
        <v>2</v>
      </c>
      <c r="E38" s="26">
        <f>E37+0.375</f>
        <v>2.25</v>
      </c>
      <c r="F38" s="27">
        <v>1.5</v>
      </c>
      <c r="G38" s="26">
        <v>0.5</v>
      </c>
      <c r="H38" s="28">
        <f t="shared" si="0"/>
        <v>3.375</v>
      </c>
      <c r="I38" s="29" t="s">
        <v>24</v>
      </c>
      <c r="J38" s="30"/>
      <c r="K38" s="31"/>
      <c r="L38" s="32"/>
    </row>
    <row r="39" spans="1:12" x14ac:dyDescent="0.3">
      <c r="A39" s="23"/>
      <c r="B39" s="24"/>
      <c r="C39" s="25"/>
      <c r="D39" s="26">
        <v>2</v>
      </c>
      <c r="E39" s="26">
        <f>E38+0.375</f>
        <v>2.625</v>
      </c>
      <c r="F39" s="27">
        <v>1.125</v>
      </c>
      <c r="G39" s="26">
        <v>1.5</v>
      </c>
      <c r="H39" s="28">
        <f t="shared" si="0"/>
        <v>8.859375</v>
      </c>
      <c r="I39" s="29" t="s">
        <v>24</v>
      </c>
      <c r="J39" s="30"/>
      <c r="K39" s="31"/>
      <c r="L39" s="32"/>
    </row>
    <row r="40" spans="1:12" x14ac:dyDescent="0.3">
      <c r="A40" s="23"/>
      <c r="B40" s="24"/>
      <c r="C40" s="25"/>
      <c r="D40" s="26">
        <v>2</v>
      </c>
      <c r="E40" s="26">
        <f>E39+0.375</f>
        <v>3</v>
      </c>
      <c r="F40" s="27">
        <v>0.75</v>
      </c>
      <c r="G40" s="26">
        <v>1</v>
      </c>
      <c r="H40" s="28">
        <f t="shared" si="0"/>
        <v>4.5</v>
      </c>
      <c r="I40" s="29" t="s">
        <v>24</v>
      </c>
      <c r="J40" s="30"/>
      <c r="K40" s="31"/>
      <c r="L40" s="32"/>
    </row>
    <row r="41" spans="1:12" s="64" customFormat="1" x14ac:dyDescent="0.3">
      <c r="A41" s="23"/>
      <c r="B41" s="24"/>
      <c r="C41" s="25" t="s">
        <v>33</v>
      </c>
      <c r="D41" s="26">
        <v>2</v>
      </c>
      <c r="E41" s="26">
        <v>4</v>
      </c>
      <c r="F41" s="27">
        <v>2.25</v>
      </c>
      <c r="G41" s="26">
        <v>0.58299999999999996</v>
      </c>
      <c r="H41" s="28">
        <f t="shared" si="0"/>
        <v>10.494</v>
      </c>
      <c r="I41" s="29" t="s">
        <v>24</v>
      </c>
      <c r="J41" s="30"/>
      <c r="K41" s="31"/>
      <c r="L41" s="32"/>
    </row>
    <row r="42" spans="1:12" s="64" customFormat="1" x14ac:dyDescent="0.3">
      <c r="A42" s="23"/>
      <c r="B42" s="24"/>
      <c r="C42" s="25"/>
      <c r="D42" s="26">
        <v>2</v>
      </c>
      <c r="E42" s="26">
        <v>4</v>
      </c>
      <c r="F42" s="27">
        <v>1.5</v>
      </c>
      <c r="G42" s="26">
        <v>0.58299999999999996</v>
      </c>
      <c r="H42" s="28">
        <f t="shared" si="0"/>
        <v>6.9959999999999996</v>
      </c>
      <c r="I42" s="29" t="s">
        <v>24</v>
      </c>
      <c r="J42" s="30"/>
      <c r="K42" s="31"/>
      <c r="L42" s="32"/>
    </row>
    <row r="43" spans="1:12" s="64" customFormat="1" x14ac:dyDescent="0.3">
      <c r="A43" s="23"/>
      <c r="B43" s="24"/>
      <c r="C43" s="25"/>
      <c r="D43" s="26">
        <v>2</v>
      </c>
      <c r="E43" s="26">
        <v>4</v>
      </c>
      <c r="F43" s="27">
        <v>0.75</v>
      </c>
      <c r="G43" s="26">
        <v>0.58299999999999996</v>
      </c>
      <c r="H43" s="28">
        <f t="shared" si="0"/>
        <v>3.4979999999999998</v>
      </c>
      <c r="I43" s="29" t="s">
        <v>24</v>
      </c>
      <c r="J43" s="30"/>
      <c r="K43" s="31"/>
      <c r="L43" s="32"/>
    </row>
    <row r="44" spans="1:12" s="64" customFormat="1" x14ac:dyDescent="0.3">
      <c r="A44" s="23"/>
      <c r="B44" s="24"/>
      <c r="C44" s="25" t="s">
        <v>25</v>
      </c>
      <c r="D44" s="26">
        <v>2</v>
      </c>
      <c r="E44" s="26">
        <f>2.5+2.5+2.5+0.75+1.5</f>
        <v>9.75</v>
      </c>
      <c r="F44" s="27">
        <v>0.75</v>
      </c>
      <c r="G44" s="26">
        <v>5</v>
      </c>
      <c r="H44" s="28">
        <f t="shared" si="0"/>
        <v>73.125</v>
      </c>
      <c r="I44" s="29" t="s">
        <v>24</v>
      </c>
      <c r="J44" s="30"/>
      <c r="K44" s="31"/>
      <c r="L44" s="32"/>
    </row>
    <row r="45" spans="1:12" s="64" customFormat="1" x14ac:dyDescent="0.3">
      <c r="A45" s="23"/>
      <c r="B45" s="24"/>
      <c r="C45" s="25"/>
      <c r="D45" s="26">
        <v>2</v>
      </c>
      <c r="E45" s="26">
        <v>4</v>
      </c>
      <c r="F45" s="27">
        <v>0.75</v>
      </c>
      <c r="G45" s="26">
        <v>5</v>
      </c>
      <c r="H45" s="28">
        <f t="shared" si="0"/>
        <v>30</v>
      </c>
      <c r="I45" s="29" t="s">
        <v>24</v>
      </c>
      <c r="J45" s="30"/>
      <c r="K45" s="31"/>
      <c r="L45" s="32"/>
    </row>
    <row r="46" spans="1:12" s="64" customFormat="1" x14ac:dyDescent="0.3">
      <c r="A46" s="23"/>
      <c r="B46" s="24"/>
      <c r="C46" s="25"/>
      <c r="D46" s="26">
        <v>2</v>
      </c>
      <c r="E46" s="26">
        <v>4</v>
      </c>
      <c r="F46" s="27">
        <v>0.375</v>
      </c>
      <c r="G46" s="26">
        <v>5</v>
      </c>
      <c r="H46" s="28">
        <f t="shared" si="0"/>
        <v>15</v>
      </c>
      <c r="I46" s="29" t="s">
        <v>24</v>
      </c>
      <c r="J46" s="30"/>
      <c r="K46" s="31"/>
      <c r="L46" s="32"/>
    </row>
    <row r="47" spans="1:12" s="64" customFormat="1" x14ac:dyDescent="0.3">
      <c r="A47" s="23"/>
      <c r="B47" s="24"/>
      <c r="C47" s="25"/>
      <c r="D47" s="26">
        <v>3</v>
      </c>
      <c r="E47" s="26">
        <v>2.5</v>
      </c>
      <c r="F47" s="27">
        <v>4</v>
      </c>
      <c r="G47" s="26">
        <v>0.25</v>
      </c>
      <c r="H47" s="28">
        <f t="shared" si="0"/>
        <v>7.5</v>
      </c>
      <c r="I47" s="29" t="s">
        <v>24</v>
      </c>
      <c r="J47" s="30"/>
      <c r="K47" s="31"/>
      <c r="L47" s="32"/>
    </row>
    <row r="48" spans="1:12" x14ac:dyDescent="0.3">
      <c r="A48" s="33"/>
      <c r="B48" s="34"/>
      <c r="C48" s="35"/>
      <c r="D48" s="36"/>
      <c r="E48" s="36"/>
      <c r="F48" s="37" t="s">
        <v>26</v>
      </c>
      <c r="G48" s="37"/>
      <c r="H48" s="38">
        <f>SUM(H26:H47)</f>
        <v>427.488</v>
      </c>
      <c r="I48" s="39" t="s">
        <v>24</v>
      </c>
      <c r="J48" s="40"/>
      <c r="K48" s="41" t="str">
        <f>""</f>
        <v/>
      </c>
      <c r="L48" s="42"/>
    </row>
    <row r="49" spans="1:12" ht="46.8" x14ac:dyDescent="0.3">
      <c r="A49" s="43"/>
      <c r="B49" s="44"/>
      <c r="C49" s="45"/>
      <c r="D49" s="46"/>
      <c r="E49" s="47" t="s">
        <v>27</v>
      </c>
      <c r="F49" s="47"/>
      <c r="G49" s="47"/>
      <c r="H49" s="48">
        <f>ROUND(H48*0.0283,3)</f>
        <v>12.098000000000001</v>
      </c>
      <c r="I49" s="49" t="s">
        <v>28</v>
      </c>
      <c r="J49" s="50" t="s">
        <v>34</v>
      </c>
      <c r="K49" s="51">
        <f>IF(B25="7.21.2",_xlfn.IFS(J49="Labour rates Amnd",823,J49="Material rates Amnd",3144,J49="Through rates Amnd",3968,J49="Labour Rate",387,J49="Material Rate",3144,J49="Through Rate",3531,TRUE,""),"")</f>
        <v>3968</v>
      </c>
      <c r="L49" s="52">
        <f>IF(H49*K49&lt;&gt;0,H49*K49,0)</f>
        <v>48004.864000000001</v>
      </c>
    </row>
    <row r="50" spans="1:12" ht="14.1" customHeight="1" x14ac:dyDescent="0.3">
      <c r="A50" s="53"/>
      <c r="B50" s="54"/>
      <c r="C50" s="55"/>
      <c r="D50" s="56"/>
      <c r="E50" s="56"/>
      <c r="F50" s="57"/>
      <c r="G50" s="56"/>
      <c r="H50" s="57"/>
      <c r="I50" s="58"/>
      <c r="J50" s="59"/>
      <c r="K50" s="60"/>
      <c r="L50" s="61"/>
    </row>
    <row r="51" spans="1:12" ht="150" x14ac:dyDescent="0.3">
      <c r="A51" s="13">
        <f>IFERROR(LOOKUP(2,1/(ISNUMBER($A$4:$A$50)),$A$4:$A$50),0)+1</f>
        <v>5</v>
      </c>
      <c r="B51" s="14" t="s">
        <v>35</v>
      </c>
      <c r="C51" s="15" t="s">
        <v>36</v>
      </c>
      <c r="D51" s="16"/>
      <c r="E51" s="17"/>
      <c r="F51" s="18"/>
      <c r="G51" s="17"/>
      <c r="H51" s="18"/>
      <c r="I51" s="19"/>
      <c r="J51" s="20"/>
      <c r="K51" s="21"/>
      <c r="L51" s="22"/>
    </row>
    <row r="52" spans="1:12" s="64" customFormat="1" x14ac:dyDescent="0.3">
      <c r="A52" s="23"/>
      <c r="B52" s="24"/>
      <c r="C52" s="25" t="s">
        <v>37</v>
      </c>
      <c r="D52" s="26"/>
      <c r="E52" s="26"/>
      <c r="F52" s="27"/>
      <c r="G52" s="26"/>
      <c r="H52" s="65"/>
      <c r="I52" s="29"/>
      <c r="J52" s="30"/>
      <c r="K52" s="31"/>
      <c r="L52" s="32"/>
    </row>
    <row r="53" spans="1:12" s="64" customFormat="1" ht="16.2" x14ac:dyDescent="0.3">
      <c r="A53" s="23"/>
      <c r="B53" s="24"/>
      <c r="C53" s="66" t="s">
        <v>38</v>
      </c>
      <c r="D53" s="26"/>
      <c r="E53" s="26"/>
      <c r="F53" s="27"/>
      <c r="G53" s="26"/>
      <c r="H53" s="65"/>
      <c r="I53" s="29"/>
      <c r="J53" s="30"/>
      <c r="K53" s="31"/>
      <c r="L53" s="32"/>
    </row>
    <row r="54" spans="1:12" s="64" customFormat="1" x14ac:dyDescent="0.3">
      <c r="A54" s="23"/>
      <c r="B54" s="24"/>
      <c r="C54" s="25"/>
      <c r="D54" s="26">
        <v>3</v>
      </c>
      <c r="E54" s="26">
        <v>6</v>
      </c>
      <c r="F54" s="27">
        <v>11.25</v>
      </c>
      <c r="G54" s="26"/>
      <c r="H54" s="28">
        <f>D54*IF(OR(E54=0,E54="-"),1,E54)*IF(OR(F54=0,F54="-"),1,F54)*IF(OR(G54=0,G54="-"),1,G54)</f>
        <v>202.5</v>
      </c>
      <c r="I54" s="29" t="s">
        <v>39</v>
      </c>
      <c r="J54" s="30"/>
      <c r="K54" s="31"/>
      <c r="L54" s="32"/>
    </row>
    <row r="55" spans="1:12" s="64" customFormat="1" x14ac:dyDescent="0.3">
      <c r="A55" s="23"/>
      <c r="B55" s="24"/>
      <c r="C55" s="25"/>
      <c r="D55" s="26">
        <v>2</v>
      </c>
      <c r="E55" s="26">
        <v>6</v>
      </c>
      <c r="F55" s="27">
        <f>7+1.5+0.75</f>
        <v>9.25</v>
      </c>
      <c r="G55" s="26"/>
      <c r="H55" s="28">
        <f>D55*IF(OR(E55=0,E55="-"),1,E55)*IF(OR(F55=0,F55="-"),1,F55)*IF(OR(G55=0,G55="-"),1,G55)</f>
        <v>111</v>
      </c>
      <c r="I55" s="29" t="s">
        <v>39</v>
      </c>
      <c r="J55" s="30"/>
      <c r="K55" s="31"/>
      <c r="L55" s="32"/>
    </row>
    <row r="56" spans="1:12" s="64" customFormat="1" x14ac:dyDescent="0.3">
      <c r="A56" s="23"/>
      <c r="B56" s="24"/>
      <c r="C56" s="25" t="s">
        <v>40</v>
      </c>
      <c r="D56" s="26">
        <v>9</v>
      </c>
      <c r="E56" s="26">
        <v>9.25</v>
      </c>
      <c r="F56" s="27"/>
      <c r="G56" s="26"/>
      <c r="H56" s="28">
        <f>D56*IF(OR(E56=0,E56="-"),1,E56)*IF(OR(F56=0,F56="-"),1,F56)*IF(OR(G56=0,G56="-"),1,G56)</f>
        <v>83.25</v>
      </c>
      <c r="I56" s="29" t="s">
        <v>39</v>
      </c>
      <c r="J56" s="30"/>
      <c r="K56" s="31"/>
      <c r="L56" s="32"/>
    </row>
    <row r="57" spans="1:12" s="64" customFormat="1" x14ac:dyDescent="0.3">
      <c r="A57" s="23"/>
      <c r="B57" s="24"/>
      <c r="C57" s="25"/>
      <c r="D57" s="26">
        <v>19</v>
      </c>
      <c r="E57" s="26">
        <v>5.5</v>
      </c>
      <c r="F57" s="27"/>
      <c r="G57" s="26"/>
      <c r="H57" s="28">
        <f>D57*IF(OR(E57=0,E57="-"),1,E57)*IF(OR(F57=0,F57="-"),1,F57)*IF(OR(G57=0,G57="-"),1,G57)</f>
        <v>104.5</v>
      </c>
      <c r="I57" s="29" t="s">
        <v>39</v>
      </c>
      <c r="J57" s="30"/>
      <c r="K57" s="31"/>
      <c r="L57" s="32"/>
    </row>
    <row r="58" spans="1:12" s="64" customFormat="1" x14ac:dyDescent="0.3">
      <c r="A58" s="33"/>
      <c r="B58" s="34"/>
      <c r="C58" s="35"/>
      <c r="D58" s="36"/>
      <c r="E58" s="36"/>
      <c r="F58" s="37" t="s">
        <v>41</v>
      </c>
      <c r="G58" s="37"/>
      <c r="H58" s="38">
        <f>SUM(H54:H57)</f>
        <v>501.25</v>
      </c>
      <c r="I58" s="39" t="s">
        <v>39</v>
      </c>
      <c r="J58" s="40"/>
      <c r="K58" s="67"/>
      <c r="L58" s="42"/>
    </row>
    <row r="59" spans="1:12" s="64" customFormat="1" x14ac:dyDescent="0.3">
      <c r="A59" s="68"/>
      <c r="B59" s="44"/>
      <c r="C59" s="45"/>
      <c r="D59" s="46"/>
      <c r="E59" s="47" t="s">
        <v>42</v>
      </c>
      <c r="F59" s="47"/>
      <c r="G59" s="47"/>
      <c r="H59" s="48">
        <f>ROUND(H58*0.3048,3)</f>
        <v>152.78100000000001</v>
      </c>
      <c r="I59" s="69" t="s">
        <v>43</v>
      </c>
      <c r="J59" s="50"/>
      <c r="K59" s="70"/>
      <c r="L59" s="71"/>
    </row>
    <row r="60" spans="1:12" s="64" customFormat="1" ht="30.9" customHeight="1" x14ac:dyDescent="0.3">
      <c r="A60" s="72"/>
      <c r="B60" s="73"/>
      <c r="C60" s="74"/>
      <c r="D60" s="75"/>
      <c r="E60" s="76" t="s">
        <v>44</v>
      </c>
      <c r="F60" s="76"/>
      <c r="G60" s="76"/>
      <c r="H60" s="77">
        <f>(H59*12^2)/162</f>
        <v>135.80533333333332</v>
      </c>
      <c r="I60" s="78" t="s">
        <v>45</v>
      </c>
      <c r="J60" s="79" t="s">
        <v>46</v>
      </c>
      <c r="K60" s="80"/>
      <c r="L60" s="81"/>
    </row>
    <row r="61" spans="1:12" s="64" customFormat="1" ht="14.1" customHeight="1" x14ac:dyDescent="0.3">
      <c r="A61" s="53"/>
      <c r="B61" s="54"/>
      <c r="C61" s="55"/>
      <c r="D61" s="56"/>
      <c r="E61" s="56"/>
      <c r="F61" s="57"/>
      <c r="G61" s="56"/>
      <c r="H61" s="57"/>
      <c r="I61" s="58"/>
      <c r="J61" s="59"/>
      <c r="K61" s="60"/>
      <c r="L61" s="61"/>
    </row>
    <row r="62" spans="1:12" s="64" customFormat="1" x14ac:dyDescent="0.3">
      <c r="A62" s="23"/>
      <c r="B62" s="24"/>
      <c r="C62" s="25" t="s">
        <v>47</v>
      </c>
      <c r="D62" s="26"/>
      <c r="E62" s="26"/>
      <c r="F62" s="27"/>
      <c r="G62" s="26"/>
      <c r="H62" s="65"/>
      <c r="I62" s="29"/>
      <c r="J62" s="30"/>
      <c r="K62" s="31"/>
      <c r="L62" s="32"/>
    </row>
    <row r="63" spans="1:12" s="64" customFormat="1" ht="16.2" x14ac:dyDescent="0.3">
      <c r="A63" s="23"/>
      <c r="B63" s="24"/>
      <c r="C63" s="66" t="s">
        <v>48</v>
      </c>
      <c r="D63" s="26"/>
      <c r="E63" s="26"/>
      <c r="F63" s="27"/>
      <c r="G63" s="26"/>
      <c r="H63" s="65"/>
      <c r="I63" s="29"/>
      <c r="J63" s="30"/>
      <c r="K63" s="31"/>
      <c r="L63" s="32"/>
    </row>
    <row r="64" spans="1:12" s="64" customFormat="1" x14ac:dyDescent="0.3">
      <c r="A64" s="23"/>
      <c r="B64" s="24"/>
      <c r="C64" s="25"/>
      <c r="D64" s="26">
        <v>3</v>
      </c>
      <c r="E64" s="26">
        <v>22</v>
      </c>
      <c r="F64" s="27">
        <v>2.66</v>
      </c>
      <c r="G64" s="26"/>
      <c r="H64" s="28">
        <f>D64*IF(OR(E64=0,E64="-"),1,E64)*IF(OR(F64=0,F64="-"),1,F64)*IF(OR(G64=0,G64="-"),1,G64)</f>
        <v>175.56</v>
      </c>
      <c r="I64" s="29" t="s">
        <v>39</v>
      </c>
      <c r="J64" s="30"/>
      <c r="K64" s="31"/>
      <c r="L64" s="32"/>
    </row>
    <row r="65" spans="1:12" s="64" customFormat="1" x14ac:dyDescent="0.3">
      <c r="A65" s="23"/>
      <c r="B65" s="24"/>
      <c r="C65" s="25"/>
      <c r="D65" s="26">
        <v>2</v>
      </c>
      <c r="E65" s="26">
        <v>18</v>
      </c>
      <c r="F65" s="27">
        <v>2.66</v>
      </c>
      <c r="G65" s="26"/>
      <c r="H65" s="28">
        <f>D65*IF(OR(E65=0,E65="-"),1,E65)*IF(OR(F65=0,F65="-"),1,F65)*IF(OR(G65=0,G65="-"),1,G65)</f>
        <v>95.76</v>
      </c>
      <c r="I65" s="29" t="s">
        <v>39</v>
      </c>
      <c r="J65" s="30"/>
      <c r="K65" s="31"/>
      <c r="L65" s="32"/>
    </row>
    <row r="66" spans="1:12" x14ac:dyDescent="0.3">
      <c r="A66" s="33"/>
      <c r="B66" s="34"/>
      <c r="C66" s="35"/>
      <c r="D66" s="36"/>
      <c r="E66" s="36"/>
      <c r="F66" s="37" t="s">
        <v>41</v>
      </c>
      <c r="G66" s="37"/>
      <c r="H66" s="38">
        <f>SUM(H64:H65)</f>
        <v>271.32</v>
      </c>
      <c r="I66" s="39" t="s">
        <v>39</v>
      </c>
      <c r="J66" s="40"/>
      <c r="K66" s="67"/>
      <c r="L66" s="42"/>
    </row>
    <row r="67" spans="1:12" x14ac:dyDescent="0.3">
      <c r="A67" s="68"/>
      <c r="B67" s="44"/>
      <c r="C67" s="45"/>
      <c r="D67" s="46"/>
      <c r="E67" s="47" t="s">
        <v>42</v>
      </c>
      <c r="F67" s="47"/>
      <c r="G67" s="47"/>
      <c r="H67" s="48">
        <f>ROUND(H66*0.3048,3)</f>
        <v>82.697999999999993</v>
      </c>
      <c r="I67" s="69" t="s">
        <v>43</v>
      </c>
      <c r="J67" s="50"/>
      <c r="K67" s="70"/>
      <c r="L67" s="71"/>
    </row>
    <row r="68" spans="1:12" ht="30.9" customHeight="1" x14ac:dyDescent="0.3">
      <c r="A68" s="82"/>
      <c r="B68" s="83"/>
      <c r="C68" s="84"/>
      <c r="D68" s="85"/>
      <c r="E68" s="86" t="s">
        <v>49</v>
      </c>
      <c r="F68" s="86"/>
      <c r="G68" s="86"/>
      <c r="H68" s="87">
        <f>(H67*8^2)/162</f>
        <v>32.670814814814811</v>
      </c>
      <c r="I68" s="88" t="s">
        <v>45</v>
      </c>
      <c r="J68" s="89" t="s">
        <v>50</v>
      </c>
      <c r="K68" s="90"/>
      <c r="L68" s="91"/>
    </row>
    <row r="69" spans="1:12" ht="14.1" customHeight="1" x14ac:dyDescent="0.3">
      <c r="A69" s="92"/>
      <c r="B69" s="93"/>
      <c r="C69" s="94"/>
      <c r="D69" s="95"/>
      <c r="E69" s="94"/>
      <c r="F69" s="94"/>
      <c r="G69" s="94"/>
      <c r="H69" s="94"/>
      <c r="I69" s="96"/>
      <c r="J69" s="94"/>
      <c r="K69" s="97" t="str">
        <f>""</f>
        <v/>
      </c>
      <c r="L69" s="98"/>
    </row>
    <row r="70" spans="1:12" ht="30.9" customHeight="1" x14ac:dyDescent="0.3">
      <c r="A70" s="99"/>
      <c r="B70" s="100"/>
      <c r="C70" s="101"/>
      <c r="D70" s="100"/>
      <c r="E70" s="102" t="s">
        <v>51</v>
      </c>
      <c r="F70" s="102"/>
      <c r="G70" s="102"/>
      <c r="H70" s="103">
        <f>SUM(H60,H68)</f>
        <v>168.47614814814813</v>
      </c>
      <c r="I70" s="104" t="s">
        <v>45</v>
      </c>
      <c r="J70" s="105" t="s">
        <v>34</v>
      </c>
      <c r="K70" s="106">
        <f>IF(B51="6.34.6",_xlfn.IFS(J70="Labour rates Amnd",6,J70="Material rates Amnd",62,J70="Through rates Amnd",68,J70="Labour Rate",2,J70="Material Rate",59,J70="Through Rate",61,TRUE,""),"")</f>
        <v>68</v>
      </c>
      <c r="L70" s="107">
        <f>IF(H70*K70&lt;&gt;0,H70*K70,0)</f>
        <v>11456.378074074073</v>
      </c>
    </row>
    <row r="71" spans="1:12" ht="14.1" customHeight="1" x14ac:dyDescent="0.3">
      <c r="A71" s="92"/>
      <c r="B71" s="93"/>
      <c r="C71" s="94"/>
      <c r="D71" s="95"/>
      <c r="E71" s="94"/>
      <c r="F71" s="94"/>
      <c r="G71" s="94"/>
      <c r="H71" s="94"/>
      <c r="I71" s="96"/>
      <c r="J71" s="94"/>
      <c r="K71" s="94"/>
      <c r="L71" s="98"/>
    </row>
    <row r="72" spans="1:12" ht="79.2" x14ac:dyDescent="0.3">
      <c r="A72" s="108">
        <f>IFERROR(LOOKUP(2,1/(ISNUMBER($A$4:$A$71)),$A$4:$A$71),0)+1</f>
        <v>6</v>
      </c>
      <c r="B72" s="109" t="s">
        <v>52</v>
      </c>
      <c r="C72" s="110" t="s">
        <v>53</v>
      </c>
      <c r="D72" s="111"/>
      <c r="E72" s="112"/>
      <c r="F72" s="113"/>
      <c r="G72" s="112"/>
      <c r="H72" s="113"/>
      <c r="I72" s="114"/>
      <c r="J72" s="115"/>
      <c r="K72" s="116"/>
      <c r="L72" s="117"/>
    </row>
    <row r="73" spans="1:12" x14ac:dyDescent="0.3">
      <c r="A73" s="23"/>
      <c r="B73" s="24"/>
      <c r="C73" s="118" t="s">
        <v>37</v>
      </c>
      <c r="D73" s="26"/>
      <c r="E73" s="26"/>
      <c r="F73" s="27"/>
      <c r="G73" s="26"/>
      <c r="H73" s="65"/>
      <c r="I73" s="29"/>
      <c r="J73" s="30"/>
      <c r="K73" s="31"/>
      <c r="L73" s="32"/>
    </row>
    <row r="74" spans="1:12" x14ac:dyDescent="0.3">
      <c r="A74" s="23"/>
      <c r="B74" s="24"/>
      <c r="C74" s="25"/>
      <c r="D74" s="26">
        <v>3</v>
      </c>
      <c r="E74" s="26">
        <v>11.25</v>
      </c>
      <c r="F74" s="27">
        <v>0.75</v>
      </c>
      <c r="G74" s="26">
        <v>0.75</v>
      </c>
      <c r="H74" s="28">
        <f>D74*IF(OR(E74=0,E74="-"),1,E74)*IF(OR(F74=0,F74="-"),1,F74)*IF(OR(G74=0,G74="-"),1,G74)</f>
        <v>18.984375</v>
      </c>
      <c r="I74" s="29" t="s">
        <v>24</v>
      </c>
      <c r="J74" s="30"/>
      <c r="K74" s="31"/>
      <c r="L74" s="32"/>
    </row>
    <row r="75" spans="1:12" s="64" customFormat="1" x14ac:dyDescent="0.3">
      <c r="A75" s="23"/>
      <c r="B75" s="24"/>
      <c r="C75" s="25"/>
      <c r="D75" s="26">
        <v>4</v>
      </c>
      <c r="E75" s="26">
        <v>4</v>
      </c>
      <c r="F75" s="27">
        <v>0.75</v>
      </c>
      <c r="G75" s="26">
        <v>0.75</v>
      </c>
      <c r="H75" s="28">
        <f>D75*IF(OR(E75=0,E75="-"),1,E75)*IF(OR(F75=0,F75="-"),1,F75)*IF(OR(G75=0,G75="-"),1,G75)</f>
        <v>9</v>
      </c>
      <c r="I75" s="29" t="s">
        <v>24</v>
      </c>
      <c r="J75" s="30"/>
      <c r="K75" s="31"/>
      <c r="L75" s="32"/>
    </row>
    <row r="76" spans="1:12" s="64" customFormat="1" x14ac:dyDescent="0.3">
      <c r="A76" s="23"/>
      <c r="B76" s="24"/>
      <c r="C76" s="25"/>
      <c r="D76" s="26">
        <v>2</v>
      </c>
      <c r="E76" s="26">
        <v>3</v>
      </c>
      <c r="F76" s="27">
        <v>0.75</v>
      </c>
      <c r="G76" s="26">
        <v>0.75</v>
      </c>
      <c r="H76" s="28">
        <f>D76*IF(OR(E76=0,E76="-"),1,E76)*IF(OR(F76=0,F76="-"),1,F76)*IF(OR(G76=0,G76="-"),1,G76)</f>
        <v>3.375</v>
      </c>
      <c r="I76" s="29" t="s">
        <v>24</v>
      </c>
      <c r="J76" s="30"/>
      <c r="K76" s="31"/>
      <c r="L76" s="32"/>
    </row>
    <row r="77" spans="1:12" s="64" customFormat="1" x14ac:dyDescent="0.3">
      <c r="A77" s="23"/>
      <c r="B77" s="24"/>
      <c r="C77" s="25" t="s">
        <v>54</v>
      </c>
      <c r="D77" s="26">
        <v>1</v>
      </c>
      <c r="E77" s="26">
        <v>9.25</v>
      </c>
      <c r="F77" s="27">
        <v>5.5</v>
      </c>
      <c r="G77" s="26">
        <v>0.5</v>
      </c>
      <c r="H77" s="28">
        <f>D77*IF(OR(E77=0,E77="-"),1,E77)*IF(OR(F77=0,F77="-"),1,F77)*IF(OR(G77=0,G77="-"),1,G77)</f>
        <v>25.4375</v>
      </c>
      <c r="I77" s="29" t="s">
        <v>24</v>
      </c>
      <c r="J77" s="30"/>
      <c r="K77" s="31"/>
      <c r="L77" s="32"/>
    </row>
    <row r="78" spans="1:12" x14ac:dyDescent="0.3">
      <c r="A78" s="33"/>
      <c r="B78" s="34"/>
      <c r="C78" s="35"/>
      <c r="D78" s="36"/>
      <c r="E78" s="36"/>
      <c r="F78" s="37" t="s">
        <v>26</v>
      </c>
      <c r="G78" s="37"/>
      <c r="H78" s="38">
        <f>SUM(H74:H77)</f>
        <v>56.796875</v>
      </c>
      <c r="I78" s="39" t="s">
        <v>24</v>
      </c>
      <c r="J78" s="40"/>
      <c r="K78" s="41" t="str">
        <f>""</f>
        <v/>
      </c>
      <c r="L78" s="42"/>
    </row>
    <row r="79" spans="1:12" ht="31.2" x14ac:dyDescent="0.3">
      <c r="A79" s="43"/>
      <c r="B79" s="44"/>
      <c r="C79" s="45"/>
      <c r="D79" s="46"/>
      <c r="E79" s="47" t="s">
        <v>27</v>
      </c>
      <c r="F79" s="47"/>
      <c r="G79" s="47"/>
      <c r="H79" s="48">
        <f>ROUND(H78*0.0283,3)</f>
        <v>1.607</v>
      </c>
      <c r="I79" s="49" t="s">
        <v>28</v>
      </c>
      <c r="J79" s="50" t="s">
        <v>19</v>
      </c>
      <c r="K79" s="51">
        <f>IF(B72="6.14.1",_xlfn.IFS(J79="Labour Rate",1172,J79="Material Rate",3203,J79="Through Rate",4374,TRUE,""),"")</f>
        <v>4374</v>
      </c>
      <c r="L79" s="52">
        <f>IF(H79*K79&lt;&gt;0,H79*K79,0)</f>
        <v>7029.018</v>
      </c>
    </row>
    <row r="80" spans="1:12" ht="14.1" customHeight="1" x14ac:dyDescent="0.3">
      <c r="A80" s="53"/>
      <c r="B80" s="54"/>
      <c r="C80" s="55"/>
      <c r="D80" s="56"/>
      <c r="E80" s="56"/>
      <c r="F80" s="57"/>
      <c r="G80" s="56"/>
      <c r="H80" s="57"/>
      <c r="I80" s="58"/>
      <c r="J80" s="59"/>
      <c r="K80" s="60"/>
      <c r="L80" s="61"/>
    </row>
    <row r="81" spans="1:12" ht="53.4" x14ac:dyDescent="0.3">
      <c r="A81" s="13">
        <f>IFERROR(LOOKUP(2,1/(ISNUMBER($A$4:$A$80)),$A$4:$A$80),0)+1</f>
        <v>7</v>
      </c>
      <c r="B81" s="14" t="s">
        <v>55</v>
      </c>
      <c r="C81" s="15" t="s">
        <v>56</v>
      </c>
      <c r="D81" s="16"/>
      <c r="E81" s="17"/>
      <c r="F81" s="18"/>
      <c r="G81" s="17"/>
      <c r="H81" s="18"/>
      <c r="I81" s="19"/>
      <c r="J81" s="20"/>
      <c r="K81" s="21"/>
      <c r="L81" s="22"/>
    </row>
    <row r="82" spans="1:12" x14ac:dyDescent="0.3">
      <c r="A82" s="23"/>
      <c r="B82" s="24"/>
      <c r="C82" s="25"/>
      <c r="D82" s="26">
        <v>6</v>
      </c>
      <c r="E82" s="26">
        <v>11.25</v>
      </c>
      <c r="F82" s="27">
        <v>0.75</v>
      </c>
      <c r="G82" s="26"/>
      <c r="H82" s="28">
        <f>D82*IF(OR(E82=0,E82="-"),1,E82)*IF(OR(F82=0,F82="-"),1,F82)*IF(OR(G82=0,G82="-"),1,G82)</f>
        <v>50.625</v>
      </c>
      <c r="I82" s="29" t="s">
        <v>15</v>
      </c>
      <c r="J82" s="30"/>
      <c r="K82" s="31"/>
      <c r="L82" s="32"/>
    </row>
    <row r="83" spans="1:12" x14ac:dyDescent="0.3">
      <c r="A83" s="23"/>
      <c r="B83" s="24"/>
      <c r="C83" s="25"/>
      <c r="D83" s="26">
        <v>8</v>
      </c>
      <c r="E83" s="26">
        <v>4</v>
      </c>
      <c r="F83" s="27">
        <v>0.75</v>
      </c>
      <c r="G83" s="26"/>
      <c r="H83" s="28">
        <f>D83*IF(OR(E83=0,E83="-"),1,E83)*IF(OR(F83=0,F83="-"),1,F83)*IF(OR(G83=0,G83="-"),1,G83)</f>
        <v>24</v>
      </c>
      <c r="I83" s="29" t="s">
        <v>15</v>
      </c>
      <c r="J83" s="30"/>
      <c r="K83" s="31"/>
      <c r="L83" s="32"/>
    </row>
    <row r="84" spans="1:12" x14ac:dyDescent="0.3">
      <c r="A84" s="23"/>
      <c r="B84" s="24"/>
      <c r="C84" s="25"/>
      <c r="D84" s="26">
        <v>4</v>
      </c>
      <c r="E84" s="26">
        <v>3</v>
      </c>
      <c r="F84" s="27">
        <v>0.75</v>
      </c>
      <c r="G84" s="26"/>
      <c r="H84" s="28">
        <f>D84*IF(OR(E84=0,E84="-"),1,E84)*IF(OR(F84=0,F84="-"),1,F84)*IF(OR(G84=0,G84="-"),1,G84)</f>
        <v>9</v>
      </c>
      <c r="I84" s="29" t="s">
        <v>15</v>
      </c>
      <c r="J84" s="30"/>
      <c r="K84" s="31"/>
      <c r="L84" s="32"/>
    </row>
    <row r="85" spans="1:12" x14ac:dyDescent="0.3">
      <c r="A85" s="23"/>
      <c r="B85" s="24"/>
      <c r="C85" s="25"/>
      <c r="D85" s="26">
        <v>1</v>
      </c>
      <c r="E85" s="26">
        <v>9.25</v>
      </c>
      <c r="F85" s="27">
        <v>5.5</v>
      </c>
      <c r="G85" s="26"/>
      <c r="H85" s="28">
        <f>D85*IF(OR(E85=0,E85="-"),1,E85)*IF(OR(F85=0,F85="-"),1,F85)*IF(OR(G85=0,G85="-"),1,G85)</f>
        <v>50.875</v>
      </c>
      <c r="I85" s="29" t="s">
        <v>15</v>
      </c>
      <c r="J85" s="30"/>
      <c r="K85" s="31"/>
      <c r="L85" s="32"/>
    </row>
    <row r="86" spans="1:12" x14ac:dyDescent="0.3">
      <c r="A86" s="33"/>
      <c r="B86" s="34"/>
      <c r="C86" s="35"/>
      <c r="D86" s="36"/>
      <c r="E86" s="36"/>
      <c r="F86" s="37" t="s">
        <v>16</v>
      </c>
      <c r="G86" s="37"/>
      <c r="H86" s="38">
        <f>SUM(H82:H85)</f>
        <v>134.5</v>
      </c>
      <c r="I86" s="39" t="s">
        <v>15</v>
      </c>
      <c r="J86" s="40"/>
      <c r="K86" s="41" t="str">
        <f>""</f>
        <v/>
      </c>
      <c r="L86" s="42"/>
    </row>
    <row r="87" spans="1:12" ht="31.2" x14ac:dyDescent="0.3">
      <c r="A87" s="43"/>
      <c r="B87" s="44"/>
      <c r="C87" s="45"/>
      <c r="D87" s="46"/>
      <c r="E87" s="47" t="s">
        <v>17</v>
      </c>
      <c r="F87" s="47"/>
      <c r="G87" s="47"/>
      <c r="H87" s="48">
        <f>ROUND(H86*0.0929,3)</f>
        <v>12.494999999999999</v>
      </c>
      <c r="I87" s="49" t="s">
        <v>18</v>
      </c>
      <c r="J87" s="50" t="s">
        <v>19</v>
      </c>
      <c r="K87" s="51">
        <f>IF(B81="6.30.5",_xlfn.IFS(J87="Labour Rate",220,J87="Material Rate",77,J87="Through Rate",296,TRUE,""),"")</f>
        <v>296</v>
      </c>
      <c r="L87" s="52">
        <f>IF(H87*K87&lt;&gt;0,H87*K87,0)</f>
        <v>3698.52</v>
      </c>
    </row>
    <row r="88" spans="1:12" ht="14.1" customHeight="1" x14ac:dyDescent="0.3">
      <c r="A88" s="53"/>
      <c r="B88" s="54"/>
      <c r="C88" s="55"/>
      <c r="D88" s="56"/>
      <c r="E88" s="56"/>
      <c r="F88" s="57"/>
      <c r="G88" s="56"/>
      <c r="H88" s="57"/>
      <c r="I88" s="58"/>
      <c r="J88" s="59"/>
      <c r="K88" s="60"/>
      <c r="L88" s="61"/>
    </row>
    <row r="89" spans="1:12" ht="39.6" x14ac:dyDescent="0.3">
      <c r="A89" s="13">
        <f>IFERROR(LOOKUP(2,1/(ISNUMBER($A$4:$A$88)),$A$4:$A$88),0)+1</f>
        <v>8</v>
      </c>
      <c r="B89" s="14" t="s">
        <v>31</v>
      </c>
      <c r="C89" s="15" t="s">
        <v>32</v>
      </c>
      <c r="D89" s="16"/>
      <c r="E89" s="17"/>
      <c r="F89" s="18"/>
      <c r="G89" s="17"/>
      <c r="H89" s="18"/>
      <c r="I89" s="19"/>
      <c r="J89" s="20"/>
      <c r="K89" s="21"/>
      <c r="L89" s="22"/>
    </row>
    <row r="90" spans="1:12" s="64" customFormat="1" x14ac:dyDescent="0.3">
      <c r="A90" s="23"/>
      <c r="B90" s="24"/>
      <c r="C90" s="25"/>
      <c r="D90" s="26">
        <v>3</v>
      </c>
      <c r="E90" s="26">
        <v>11.25</v>
      </c>
      <c r="F90" s="27">
        <v>0.75</v>
      </c>
      <c r="G90" s="26">
        <v>0.25</v>
      </c>
      <c r="H90" s="28">
        <f>D90*IF(OR(E90=0,E90="-"),1,E90)*IF(OR(F90=0,F90="-"),1,F90)*IF(OR(G90=0,G90="-"),1,G90)</f>
        <v>6.328125</v>
      </c>
      <c r="I90" s="29" t="s">
        <v>24</v>
      </c>
      <c r="J90" s="30"/>
      <c r="K90" s="31"/>
      <c r="L90" s="32"/>
    </row>
    <row r="91" spans="1:12" s="64" customFormat="1" x14ac:dyDescent="0.3">
      <c r="A91" s="23"/>
      <c r="B91" s="24"/>
      <c r="C91" s="25"/>
      <c r="D91" s="26">
        <v>4</v>
      </c>
      <c r="E91" s="26">
        <v>4</v>
      </c>
      <c r="F91" s="27">
        <v>0.75</v>
      </c>
      <c r="G91" s="26">
        <v>0.25</v>
      </c>
      <c r="H91" s="28">
        <f>D91*IF(OR(E91=0,E91="-"),1,E91)*IF(OR(F91=0,F91="-"),1,F91)*IF(OR(G91=0,G91="-"),1,G91)</f>
        <v>3</v>
      </c>
      <c r="I91" s="29" t="s">
        <v>24</v>
      </c>
      <c r="J91" s="30"/>
      <c r="K91" s="31"/>
      <c r="L91" s="32"/>
    </row>
    <row r="92" spans="1:12" s="64" customFormat="1" x14ac:dyDescent="0.3">
      <c r="A92" s="23"/>
      <c r="B92" s="24"/>
      <c r="C92" s="25"/>
      <c r="D92" s="26">
        <v>2</v>
      </c>
      <c r="E92" s="26">
        <v>3</v>
      </c>
      <c r="F92" s="27">
        <v>0.75</v>
      </c>
      <c r="G92" s="26">
        <v>0.25</v>
      </c>
      <c r="H92" s="28">
        <f>D92*IF(OR(E92=0,E92="-"),1,E92)*IF(OR(F92=0,F92="-"),1,F92)*IF(OR(G92=0,G92="-"),1,G92)</f>
        <v>1.125</v>
      </c>
      <c r="I92" s="29" t="s">
        <v>24</v>
      </c>
      <c r="J92" s="30"/>
      <c r="K92" s="31"/>
      <c r="L92" s="32"/>
    </row>
    <row r="93" spans="1:12" x14ac:dyDescent="0.3">
      <c r="A93" s="33"/>
      <c r="B93" s="34"/>
      <c r="C93" s="35"/>
      <c r="D93" s="36"/>
      <c r="E93" s="36"/>
      <c r="F93" s="37" t="s">
        <v>26</v>
      </c>
      <c r="G93" s="37"/>
      <c r="H93" s="38">
        <f>SUM(H90:H92)</f>
        <v>10.453125</v>
      </c>
      <c r="I93" s="39" t="s">
        <v>24</v>
      </c>
      <c r="J93" s="40"/>
      <c r="K93" s="41" t="str">
        <f>""</f>
        <v/>
      </c>
      <c r="L93" s="42"/>
    </row>
    <row r="94" spans="1:12" ht="46.8" x14ac:dyDescent="0.3">
      <c r="A94" s="43"/>
      <c r="B94" s="44"/>
      <c r="C94" s="45"/>
      <c r="D94" s="46"/>
      <c r="E94" s="47" t="s">
        <v>27</v>
      </c>
      <c r="F94" s="47"/>
      <c r="G94" s="47"/>
      <c r="H94" s="48">
        <f>ROUND(H93*0.0283,3)</f>
        <v>0.29599999999999999</v>
      </c>
      <c r="I94" s="49" t="s">
        <v>28</v>
      </c>
      <c r="J94" s="50" t="s">
        <v>34</v>
      </c>
      <c r="K94" s="51">
        <f>IF(B89="7.21.2",_xlfn.IFS(J94="Labour rates Amnd",823,J94="Material rates Amnd",3144,J94="Through rates Amnd",3968,J94="Labour Rate",387,J94="Material Rate",3144,J94="Through Rate",3531,TRUE,""),"")</f>
        <v>3968</v>
      </c>
      <c r="L94" s="52">
        <f>IF(H94*K94&lt;&gt;0,H94*K94,0)</f>
        <v>1174.528</v>
      </c>
    </row>
    <row r="95" spans="1:12" ht="14.1" customHeight="1" x14ac:dyDescent="0.3">
      <c r="A95" s="53"/>
      <c r="B95" s="54"/>
      <c r="C95" s="55"/>
      <c r="D95" s="56"/>
      <c r="E95" s="56"/>
      <c r="F95" s="57"/>
      <c r="G95" s="56"/>
      <c r="H95" s="57"/>
      <c r="I95" s="58"/>
      <c r="J95" s="59"/>
      <c r="K95" s="60"/>
      <c r="L95" s="61"/>
    </row>
    <row r="96" spans="1:12" ht="53.4" x14ac:dyDescent="0.3">
      <c r="A96" s="13">
        <f>IFERROR(LOOKUP(2,1/(ISNUMBER($A$4:$A$95)),$A$4:$A$95),0)+1</f>
        <v>9</v>
      </c>
      <c r="B96" s="14" t="s">
        <v>57</v>
      </c>
      <c r="C96" s="15" t="s">
        <v>58</v>
      </c>
      <c r="D96" s="16"/>
      <c r="E96" s="17"/>
      <c r="F96" s="18"/>
      <c r="G96" s="17"/>
      <c r="H96" s="18"/>
      <c r="I96" s="19"/>
      <c r="J96" s="20"/>
      <c r="K96" s="21"/>
      <c r="L96" s="22"/>
    </row>
    <row r="97" spans="1:12" s="64" customFormat="1" x14ac:dyDescent="0.3">
      <c r="A97" s="23"/>
      <c r="B97" s="24"/>
      <c r="C97" s="25"/>
      <c r="D97" s="26">
        <v>3</v>
      </c>
      <c r="E97" s="26">
        <v>11.25</v>
      </c>
      <c r="F97" s="27">
        <v>0.75</v>
      </c>
      <c r="G97" s="26"/>
      <c r="H97" s="28">
        <f>D97*IF(OR(E97=0,E97="-"),1,E97)*IF(OR(F97=0,F97="-"),1,F97)*IF(OR(G97=0,G97="-"),1,G97)</f>
        <v>25.3125</v>
      </c>
      <c r="I97" s="29" t="s">
        <v>15</v>
      </c>
      <c r="J97" s="30"/>
      <c r="K97" s="31"/>
      <c r="L97" s="32"/>
    </row>
    <row r="98" spans="1:12" s="64" customFormat="1" x14ac:dyDescent="0.3">
      <c r="A98" s="23"/>
      <c r="B98" s="24"/>
      <c r="C98" s="25"/>
      <c r="D98" s="26">
        <v>4</v>
      </c>
      <c r="E98" s="26">
        <v>4</v>
      </c>
      <c r="F98" s="27">
        <v>0.75</v>
      </c>
      <c r="G98" s="26"/>
      <c r="H98" s="28">
        <f>D98*IF(OR(E98=0,E98="-"),1,E98)*IF(OR(F98=0,F98="-"),1,F98)*IF(OR(G98=0,G98="-"),1,G98)</f>
        <v>12</v>
      </c>
      <c r="I98" s="29" t="s">
        <v>15</v>
      </c>
      <c r="J98" s="30"/>
      <c r="K98" s="31"/>
      <c r="L98" s="32"/>
    </row>
    <row r="99" spans="1:12" s="64" customFormat="1" x14ac:dyDescent="0.3">
      <c r="A99" s="23"/>
      <c r="B99" s="24"/>
      <c r="C99" s="25"/>
      <c r="D99" s="26">
        <v>2</v>
      </c>
      <c r="E99" s="26">
        <v>3</v>
      </c>
      <c r="F99" s="27">
        <v>0.75</v>
      </c>
      <c r="G99" s="26"/>
      <c r="H99" s="28">
        <f>D99*IF(OR(E99=0,E99="-"),1,E99)*IF(OR(F99=0,F99="-"),1,F99)*IF(OR(G99=0,G99="-"),1,G99)</f>
        <v>4.5</v>
      </c>
      <c r="I99" s="29" t="s">
        <v>15</v>
      </c>
      <c r="J99" s="30"/>
      <c r="K99" s="31"/>
      <c r="L99" s="32"/>
    </row>
    <row r="100" spans="1:12" s="64" customFormat="1" x14ac:dyDescent="0.3">
      <c r="A100" s="23"/>
      <c r="B100" s="24"/>
      <c r="C100" s="25" t="s">
        <v>59</v>
      </c>
      <c r="D100" s="26">
        <v>-3</v>
      </c>
      <c r="E100" s="26">
        <v>2.5</v>
      </c>
      <c r="F100" s="27">
        <v>0.75</v>
      </c>
      <c r="G100" s="26"/>
      <c r="H100" s="28">
        <f>D100*IF(OR(E100=0,E100="-"),1,E100)*IF(OR(F100=0,F100="-"),1,F100)*IF(OR(G100=0,G100="-"),1,G100)</f>
        <v>-5.625</v>
      </c>
      <c r="I100" s="29" t="s">
        <v>15</v>
      </c>
      <c r="J100" s="30"/>
      <c r="K100" s="31"/>
      <c r="L100" s="32"/>
    </row>
    <row r="101" spans="1:12" x14ac:dyDescent="0.3">
      <c r="A101" s="33"/>
      <c r="B101" s="34"/>
      <c r="C101" s="35"/>
      <c r="D101" s="36"/>
      <c r="E101" s="36"/>
      <c r="F101" s="119" t="s">
        <v>16</v>
      </c>
      <c r="G101" s="119"/>
      <c r="H101" s="38">
        <f>SUM(H97:H100)</f>
        <v>36.1875</v>
      </c>
      <c r="I101" s="39" t="s">
        <v>15</v>
      </c>
      <c r="J101" s="40"/>
      <c r="K101" s="41" t="str">
        <f>""</f>
        <v/>
      </c>
      <c r="L101" s="42"/>
    </row>
    <row r="102" spans="1:12" ht="31.2" x14ac:dyDescent="0.3">
      <c r="A102" s="43"/>
      <c r="B102" s="44"/>
      <c r="C102" s="45"/>
      <c r="D102" s="46"/>
      <c r="E102" s="47" t="s">
        <v>17</v>
      </c>
      <c r="F102" s="47"/>
      <c r="G102" s="47"/>
      <c r="H102" s="48">
        <f>ROUND(H101*0.0929,3)</f>
        <v>3.3620000000000001</v>
      </c>
      <c r="I102" s="49" t="s">
        <v>18</v>
      </c>
      <c r="J102" s="50" t="s">
        <v>19</v>
      </c>
      <c r="K102" s="51">
        <f>IF(B96="6.8.2",_xlfn.IFS(J102="Labour Rate",21,J102="Material Rate",113,J102="Through Rate",133,TRUE,""),"")</f>
        <v>133</v>
      </c>
      <c r="L102" s="52">
        <f>IF(H102*K102&lt;&gt;0,H102*K102,0)</f>
        <v>447.14600000000002</v>
      </c>
    </row>
    <row r="103" spans="1:12" ht="14.1" customHeight="1" x14ac:dyDescent="0.3">
      <c r="A103" s="53"/>
      <c r="B103" s="54"/>
      <c r="C103" s="55"/>
      <c r="D103" s="56"/>
      <c r="E103" s="56"/>
      <c r="F103" s="57"/>
      <c r="G103" s="56"/>
      <c r="H103" s="57"/>
      <c r="I103" s="58"/>
      <c r="J103" s="59"/>
      <c r="K103" s="60"/>
      <c r="L103" s="61"/>
    </row>
    <row r="104" spans="1:12" s="64" customFormat="1" ht="53.4" x14ac:dyDescent="0.3">
      <c r="A104" s="13">
        <f>IFERROR(LOOKUP(2,1/(ISNUMBER($A$4:$A$103)),$A$4:$A$103),0)+1</f>
        <v>10</v>
      </c>
      <c r="B104" s="14" t="s">
        <v>60</v>
      </c>
      <c r="C104" s="15" t="s">
        <v>61</v>
      </c>
      <c r="D104" s="16"/>
      <c r="E104" s="17"/>
      <c r="F104" s="18"/>
      <c r="G104" s="17"/>
      <c r="H104" s="18"/>
      <c r="I104" s="19"/>
      <c r="J104" s="20"/>
      <c r="K104" s="21"/>
      <c r="L104" s="22"/>
    </row>
    <row r="105" spans="1:12" s="64" customFormat="1" x14ac:dyDescent="0.3">
      <c r="A105" s="23"/>
      <c r="B105" s="24"/>
      <c r="C105" s="25"/>
      <c r="D105" s="26">
        <v>2</v>
      </c>
      <c r="E105" s="26">
        <v>11.25</v>
      </c>
      <c r="F105" s="27">
        <v>0.75</v>
      </c>
      <c r="G105" s="26">
        <v>9</v>
      </c>
      <c r="H105" s="28">
        <f t="shared" ref="H105:H110" si="1">D105*IF(OR(E105=0,E105="-"),1,E105)*IF(OR(F105=0,F105="-"),1,F105)*IF(OR(G105=0,G105="-"),1,G105)</f>
        <v>151.875</v>
      </c>
      <c r="I105" s="29" t="s">
        <v>24</v>
      </c>
      <c r="J105" s="30"/>
      <c r="K105" s="31"/>
      <c r="L105" s="32"/>
    </row>
    <row r="106" spans="1:12" s="64" customFormat="1" x14ac:dyDescent="0.3">
      <c r="A106" s="23"/>
      <c r="B106" s="24"/>
      <c r="C106" s="25"/>
      <c r="D106" s="26">
        <v>2</v>
      </c>
      <c r="E106" s="26">
        <v>4</v>
      </c>
      <c r="F106" s="27">
        <v>0.75</v>
      </c>
      <c r="G106" s="26">
        <v>9</v>
      </c>
      <c r="H106" s="28">
        <f t="shared" si="1"/>
        <v>54</v>
      </c>
      <c r="I106" s="29" t="s">
        <v>24</v>
      </c>
      <c r="J106" s="30"/>
      <c r="K106" s="31"/>
      <c r="L106" s="32"/>
    </row>
    <row r="107" spans="1:12" s="64" customFormat="1" x14ac:dyDescent="0.3">
      <c r="A107" s="23"/>
      <c r="B107" s="24"/>
      <c r="C107" s="25"/>
      <c r="D107" s="26">
        <v>1</v>
      </c>
      <c r="E107" s="26">
        <v>11.25</v>
      </c>
      <c r="F107" s="27">
        <v>0.75</v>
      </c>
      <c r="G107" s="26">
        <v>6</v>
      </c>
      <c r="H107" s="28">
        <f t="shared" si="1"/>
        <v>50.625</v>
      </c>
      <c r="I107" s="29" t="s">
        <v>24</v>
      </c>
      <c r="J107" s="30"/>
      <c r="K107" s="31"/>
      <c r="L107" s="32"/>
    </row>
    <row r="108" spans="1:12" s="64" customFormat="1" x14ac:dyDescent="0.3">
      <c r="A108" s="23"/>
      <c r="B108" s="24"/>
      <c r="C108" s="25"/>
      <c r="D108" s="26">
        <v>1</v>
      </c>
      <c r="E108" s="26">
        <v>3</v>
      </c>
      <c r="F108" s="27">
        <v>0.75</v>
      </c>
      <c r="G108" s="26">
        <v>9</v>
      </c>
      <c r="H108" s="28">
        <f t="shared" si="1"/>
        <v>20.25</v>
      </c>
      <c r="I108" s="29" t="s">
        <v>24</v>
      </c>
      <c r="J108" s="30"/>
      <c r="K108" s="31"/>
      <c r="L108" s="32"/>
    </row>
    <row r="109" spans="1:12" s="64" customFormat="1" x14ac:dyDescent="0.3">
      <c r="A109" s="23"/>
      <c r="B109" s="24"/>
      <c r="C109" s="25" t="s">
        <v>62</v>
      </c>
      <c r="D109" s="26">
        <v>-3</v>
      </c>
      <c r="E109" s="26">
        <v>2.5</v>
      </c>
      <c r="F109" s="27">
        <v>0.75</v>
      </c>
      <c r="G109" s="26">
        <v>7</v>
      </c>
      <c r="H109" s="28">
        <f t="shared" si="1"/>
        <v>-39.375</v>
      </c>
      <c r="I109" s="29" t="s">
        <v>24</v>
      </c>
      <c r="J109" s="30"/>
      <c r="K109" s="31"/>
      <c r="L109" s="32"/>
    </row>
    <row r="110" spans="1:12" x14ac:dyDescent="0.3">
      <c r="A110" s="23"/>
      <c r="B110" s="24"/>
      <c r="C110" s="25" t="s">
        <v>63</v>
      </c>
      <c r="D110" s="26">
        <v>-3</v>
      </c>
      <c r="E110" s="26">
        <v>1.5</v>
      </c>
      <c r="F110" s="27">
        <v>0.75</v>
      </c>
      <c r="G110" s="26">
        <v>1.5</v>
      </c>
      <c r="H110" s="28">
        <f t="shared" si="1"/>
        <v>-5.0625</v>
      </c>
      <c r="I110" s="29" t="s">
        <v>24</v>
      </c>
      <c r="J110" s="30"/>
      <c r="K110" s="31"/>
      <c r="L110" s="32"/>
    </row>
    <row r="111" spans="1:12" x14ac:dyDescent="0.3">
      <c r="A111" s="33"/>
      <c r="B111" s="34"/>
      <c r="C111" s="35"/>
      <c r="D111" s="36"/>
      <c r="E111" s="36"/>
      <c r="F111" s="119" t="s">
        <v>26</v>
      </c>
      <c r="G111" s="119"/>
      <c r="H111" s="38">
        <f>SUM(H105:H110)</f>
        <v>232.3125</v>
      </c>
      <c r="I111" s="39" t="s">
        <v>24</v>
      </c>
      <c r="J111" s="40"/>
      <c r="K111" s="41" t="str">
        <f>""</f>
        <v/>
      </c>
      <c r="L111" s="42"/>
    </row>
    <row r="112" spans="1:12" ht="46.8" x14ac:dyDescent="0.3">
      <c r="A112" s="43"/>
      <c r="B112" s="44"/>
      <c r="C112" s="45"/>
      <c r="D112" s="46"/>
      <c r="E112" s="120" t="s">
        <v>27</v>
      </c>
      <c r="F112" s="120"/>
      <c r="G112" s="120"/>
      <c r="H112" s="48">
        <f>ROUND(H111*0.0283,3)</f>
        <v>6.5739999999999998</v>
      </c>
      <c r="I112" s="49" t="s">
        <v>28</v>
      </c>
      <c r="J112" s="50" t="s">
        <v>34</v>
      </c>
      <c r="K112" s="51">
        <f>IF(B104="7.22.2",_xlfn.IFS(J112="Labour rates Amnd",1099,J112="Material rates Amnd",3389,J112="Through rates Amnd",4488,J112="Labour Rate",572,J112="Material Rate",3389,J112="Through Rate",3961,TRUE,""),"")</f>
        <v>4488</v>
      </c>
      <c r="L112" s="52">
        <f>IF(H112*K112&lt;&gt;0,H112*K112,0)</f>
        <v>29504.112000000001</v>
      </c>
    </row>
    <row r="113" spans="1:12" ht="14.1" customHeight="1" x14ac:dyDescent="0.3">
      <c r="A113" s="53"/>
      <c r="B113" s="54"/>
      <c r="C113" s="55"/>
      <c r="D113" s="56"/>
      <c r="E113" s="56"/>
      <c r="F113" s="57"/>
      <c r="G113" s="56"/>
      <c r="H113" s="57"/>
      <c r="I113" s="58"/>
      <c r="J113" s="59"/>
      <c r="K113" s="60"/>
      <c r="L113" s="61"/>
    </row>
    <row r="114" spans="1:12" ht="53.4" x14ac:dyDescent="0.3">
      <c r="A114" s="13">
        <f>IFERROR(LOOKUP(2,1/(ISNUMBER($A$4:$A$113)),$A$4:$A$113),0)+1</f>
        <v>11</v>
      </c>
      <c r="B114" s="14" t="s">
        <v>64</v>
      </c>
      <c r="C114" s="15" t="s">
        <v>65</v>
      </c>
      <c r="D114" s="16"/>
      <c r="E114" s="17"/>
      <c r="F114" s="18"/>
      <c r="G114" s="17"/>
      <c r="H114" s="121"/>
      <c r="I114" s="19"/>
      <c r="J114" s="122"/>
      <c r="K114" s="21"/>
      <c r="L114" s="123"/>
    </row>
    <row r="115" spans="1:12" x14ac:dyDescent="0.3">
      <c r="A115" s="23"/>
      <c r="B115" s="24"/>
      <c r="C115" s="25" t="s">
        <v>66</v>
      </c>
      <c r="D115" s="26">
        <v>2</v>
      </c>
      <c r="E115" s="26">
        <v>4</v>
      </c>
      <c r="F115" s="27"/>
      <c r="G115" s="26">
        <v>9</v>
      </c>
      <c r="H115" s="124">
        <f>D115*IF(OR(E115=0,E115="-"),1,E115)*IF(OR(F115=0,F115="-"),1,F115)*IF(OR(G115=0,G115="-"),1,G115)</f>
        <v>72</v>
      </c>
      <c r="I115" s="29" t="s">
        <v>15</v>
      </c>
      <c r="J115" s="125"/>
      <c r="K115" s="31"/>
      <c r="L115" s="126"/>
    </row>
    <row r="116" spans="1:12" x14ac:dyDescent="0.3">
      <c r="A116" s="33"/>
      <c r="B116" s="34"/>
      <c r="C116" s="35"/>
      <c r="D116" s="36"/>
      <c r="E116" s="36"/>
      <c r="F116" s="37" t="s">
        <v>16</v>
      </c>
      <c r="G116" s="37"/>
      <c r="H116" s="38">
        <f>SUM(H115:H115)</f>
        <v>72</v>
      </c>
      <c r="I116" s="39" t="s">
        <v>15</v>
      </c>
      <c r="J116" s="40"/>
      <c r="K116" s="41" t="str">
        <f>""</f>
        <v/>
      </c>
      <c r="L116" s="127"/>
    </row>
    <row r="117" spans="1:12" ht="31.2" x14ac:dyDescent="0.3">
      <c r="A117" s="43"/>
      <c r="B117" s="44"/>
      <c r="C117" s="45"/>
      <c r="D117" s="46"/>
      <c r="E117" s="47" t="s">
        <v>17</v>
      </c>
      <c r="F117" s="47"/>
      <c r="G117" s="47"/>
      <c r="H117" s="48">
        <f>ROUND(H116*0.0929,3)</f>
        <v>6.6890000000000001</v>
      </c>
      <c r="I117" s="49" t="s">
        <v>18</v>
      </c>
      <c r="J117" s="50" t="s">
        <v>19</v>
      </c>
      <c r="K117" s="51">
        <f>IF(B114="7.28.2",_xlfn.IFS(J117="Labour Rate",109,J117="Material Rate",378,J117="Through Rate",488,TRUE,""),"")</f>
        <v>488</v>
      </c>
      <c r="L117" s="52">
        <f>IF(H117*K117&lt;&gt;0,H117*K117,0)</f>
        <v>3264.232</v>
      </c>
    </row>
    <row r="118" spans="1:12" ht="14.1" customHeight="1" x14ac:dyDescent="0.3">
      <c r="A118" s="53"/>
      <c r="B118" s="54"/>
      <c r="C118" s="55"/>
      <c r="D118" s="56"/>
      <c r="E118" s="56"/>
      <c r="F118" s="57"/>
      <c r="G118" s="56"/>
      <c r="H118" s="57"/>
      <c r="I118" s="58"/>
      <c r="J118" s="59"/>
      <c r="K118" s="60"/>
      <c r="L118" s="61"/>
    </row>
    <row r="119" spans="1:12" ht="148.80000000000001" x14ac:dyDescent="0.3">
      <c r="A119" s="13">
        <f>IFERROR(LOOKUP(2,1/(ISNUMBER($A$4:$A$118)),$A$4:$A$118),0)+1</f>
        <v>12</v>
      </c>
      <c r="B119" s="14" t="s">
        <v>67</v>
      </c>
      <c r="C119" s="15" t="s">
        <v>68</v>
      </c>
      <c r="D119" s="16"/>
      <c r="E119" s="17"/>
      <c r="F119" s="18"/>
      <c r="G119" s="17"/>
      <c r="H119" s="18"/>
      <c r="I119" s="19"/>
      <c r="J119" s="20"/>
      <c r="K119" s="21"/>
      <c r="L119" s="22"/>
    </row>
    <row r="120" spans="1:12" x14ac:dyDescent="0.3">
      <c r="A120" s="23"/>
      <c r="B120" s="24"/>
      <c r="C120" s="118" t="s">
        <v>62</v>
      </c>
      <c r="D120" s="26">
        <v>6</v>
      </c>
      <c r="E120" s="26"/>
      <c r="F120" s="27">
        <v>7</v>
      </c>
      <c r="G120" s="26"/>
      <c r="H120" s="28">
        <f>D120*IF(OR(E120=0,E120="-"),1,E120)*IF(OR(F120=0,F120="-"),1,F120)*IF(OR(G120=0,G120="-"),1,G120)</f>
        <v>42</v>
      </c>
      <c r="I120" s="29" t="s">
        <v>39</v>
      </c>
      <c r="J120" s="30"/>
      <c r="K120" s="31"/>
      <c r="L120" s="32"/>
    </row>
    <row r="121" spans="1:12" x14ac:dyDescent="0.3">
      <c r="A121" s="23"/>
      <c r="B121" s="24"/>
      <c r="C121" s="118"/>
      <c r="D121" s="26">
        <v>3</v>
      </c>
      <c r="E121" s="26"/>
      <c r="F121" s="27">
        <v>2.5</v>
      </c>
      <c r="G121" s="26"/>
      <c r="H121" s="28">
        <f>D121*IF(OR(E121=0,E121="-"),1,E121)*IF(OR(F121=0,F121="-"),1,F121)*IF(OR(G121=0,G121="-"),1,G121)</f>
        <v>7.5</v>
      </c>
      <c r="I121" s="29" t="s">
        <v>39</v>
      </c>
      <c r="J121" s="30"/>
      <c r="K121" s="31"/>
      <c r="L121" s="32"/>
    </row>
    <row r="122" spans="1:12" s="64" customFormat="1" x14ac:dyDescent="0.3">
      <c r="A122" s="23"/>
      <c r="B122" s="24"/>
      <c r="C122" s="118" t="s">
        <v>69</v>
      </c>
      <c r="D122" s="26">
        <v>12</v>
      </c>
      <c r="E122" s="26"/>
      <c r="F122" s="27">
        <v>1.5</v>
      </c>
      <c r="G122" s="26"/>
      <c r="H122" s="28">
        <f>D122*IF(OR(E122=0,E122="-"),1,E122)*IF(OR(F122=0,F122="-"),1,F122)*IF(OR(G122=0,G122="-"),1,G122)</f>
        <v>18</v>
      </c>
      <c r="I122" s="29" t="s">
        <v>39</v>
      </c>
      <c r="J122" s="30"/>
      <c r="K122" s="31"/>
      <c r="L122" s="32"/>
    </row>
    <row r="123" spans="1:12" x14ac:dyDescent="0.3">
      <c r="A123" s="33"/>
      <c r="B123" s="34"/>
      <c r="C123" s="35"/>
      <c r="D123" s="36"/>
      <c r="E123" s="36"/>
      <c r="F123" s="37" t="s">
        <v>41</v>
      </c>
      <c r="G123" s="37"/>
      <c r="H123" s="38">
        <f>SUM(H120:H122)</f>
        <v>67.5</v>
      </c>
      <c r="I123" s="39" t="s">
        <v>39</v>
      </c>
      <c r="J123" s="40"/>
      <c r="K123" s="41" t="str">
        <f>""</f>
        <v/>
      </c>
      <c r="L123" s="42"/>
    </row>
    <row r="124" spans="1:12" ht="31.2" x14ac:dyDescent="0.3">
      <c r="A124" s="43"/>
      <c r="B124" s="44"/>
      <c r="C124" s="45"/>
      <c r="D124" s="46"/>
      <c r="E124" s="47" t="s">
        <v>42</v>
      </c>
      <c r="F124" s="47"/>
      <c r="G124" s="47"/>
      <c r="H124" s="48">
        <f>ROUND(H123*0.3048,3)</f>
        <v>20.574000000000002</v>
      </c>
      <c r="I124" s="49" t="s">
        <v>70</v>
      </c>
      <c r="J124" s="50" t="s">
        <v>19</v>
      </c>
      <c r="K124" s="51">
        <f>IF(B119="13.3.3.1",_xlfn.IFS(J124="Labour Rate",30,J124="Material Rate",357,J124="Through Rate",388,TRUE,""),"")</f>
        <v>388</v>
      </c>
      <c r="L124" s="52">
        <f>IF(H124*K124&lt;&gt;0,H124*K124,0)</f>
        <v>7982.7120000000004</v>
      </c>
    </row>
    <row r="125" spans="1:12" ht="14.1" customHeight="1" x14ac:dyDescent="0.3">
      <c r="A125" s="53"/>
      <c r="B125" s="54"/>
      <c r="C125" s="55"/>
      <c r="D125" s="56"/>
      <c r="E125" s="56"/>
      <c r="F125" s="57"/>
      <c r="G125" s="56"/>
      <c r="H125" s="57"/>
      <c r="I125" s="58"/>
      <c r="J125" s="59"/>
      <c r="K125" s="60"/>
      <c r="L125" s="61"/>
    </row>
    <row r="126" spans="1:12" ht="81" x14ac:dyDescent="0.3">
      <c r="A126" s="13">
        <f>IFERROR(LOOKUP(2,1/(ISNUMBER($A$4:$A$125)),$A$4:$A$125),0)+1</f>
        <v>13</v>
      </c>
      <c r="B126" s="14" t="s">
        <v>71</v>
      </c>
      <c r="C126" s="15" t="s">
        <v>72</v>
      </c>
      <c r="D126" s="16"/>
      <c r="E126" s="17"/>
      <c r="F126" s="18"/>
      <c r="G126" s="17"/>
      <c r="H126" s="18"/>
      <c r="I126" s="19"/>
      <c r="J126" s="20"/>
      <c r="K126" s="21"/>
      <c r="L126" s="22"/>
    </row>
    <row r="127" spans="1:12" x14ac:dyDescent="0.3">
      <c r="A127" s="23"/>
      <c r="B127" s="24"/>
      <c r="C127" s="25" t="s">
        <v>62</v>
      </c>
      <c r="D127" s="26">
        <f>3*1.5</f>
        <v>4.5</v>
      </c>
      <c r="E127" s="26">
        <v>2.5</v>
      </c>
      <c r="F127" s="27"/>
      <c r="G127" s="26">
        <v>7</v>
      </c>
      <c r="H127" s="28">
        <f>D127*IF(OR(E127=0,E127="-"),1,E127)*IF(OR(F127=0,F127="-"),1,F127)*IF(OR(G127=0,G127="-"),1,G127)</f>
        <v>78.75</v>
      </c>
      <c r="I127" s="29" t="s">
        <v>73</v>
      </c>
      <c r="J127" s="30"/>
      <c r="K127" s="31"/>
      <c r="L127" s="32"/>
    </row>
    <row r="128" spans="1:12" x14ac:dyDescent="0.3">
      <c r="A128" s="23"/>
      <c r="B128" s="24"/>
      <c r="C128" s="25" t="s">
        <v>63</v>
      </c>
      <c r="D128" s="26">
        <f>3*1.5</f>
        <v>4.5</v>
      </c>
      <c r="E128" s="26">
        <v>1.5</v>
      </c>
      <c r="F128" s="27"/>
      <c r="G128" s="26">
        <v>1.5</v>
      </c>
      <c r="H128" s="28">
        <f>D128*IF(OR(E128=0,E128="-"),1,E128)*IF(OR(F128=0,F128="-"),1,F128)*IF(OR(G128=0,G128="-"),1,G128)</f>
        <v>10.125</v>
      </c>
      <c r="I128" s="29" t="s">
        <v>73</v>
      </c>
      <c r="J128" s="30"/>
      <c r="K128" s="31"/>
      <c r="L128" s="32"/>
    </row>
    <row r="129" spans="1:12" x14ac:dyDescent="0.3">
      <c r="A129" s="33"/>
      <c r="B129" s="34"/>
      <c r="C129" s="35"/>
      <c r="D129" s="36"/>
      <c r="E129" s="36"/>
      <c r="F129" s="37" t="s">
        <v>74</v>
      </c>
      <c r="G129" s="37"/>
      <c r="H129" s="128">
        <f>SUM(H127:H128)</f>
        <v>88.875</v>
      </c>
      <c r="I129" s="39" t="s">
        <v>73</v>
      </c>
      <c r="J129" s="40"/>
      <c r="K129" s="41" t="str">
        <f>""</f>
        <v/>
      </c>
      <c r="L129" s="42"/>
    </row>
    <row r="130" spans="1:12" ht="14.1" customHeight="1" x14ac:dyDescent="0.3">
      <c r="A130" s="43"/>
      <c r="B130" s="44"/>
      <c r="C130" s="45"/>
      <c r="D130" s="46"/>
      <c r="E130" s="47" t="s">
        <v>74</v>
      </c>
      <c r="F130" s="47"/>
      <c r="G130" s="47"/>
      <c r="H130" s="48">
        <f>ROUND(H129*1,3)</f>
        <v>88.875</v>
      </c>
      <c r="I130" s="49" t="s">
        <v>45</v>
      </c>
      <c r="J130" s="50" t="s">
        <v>19</v>
      </c>
      <c r="K130" s="51">
        <f>IF(B126="12.50.1",_xlfn.IFS(J130="Labour Rate",28,J130="Material Rate",64,J130="Through Rate",91,TRUE,""),"")</f>
        <v>91</v>
      </c>
      <c r="L130" s="52">
        <f>IF(H130*K130&lt;&gt;0,H130*K130,0)</f>
        <v>8087.625</v>
      </c>
    </row>
    <row r="131" spans="1:12" ht="14.1" customHeight="1" x14ac:dyDescent="0.3">
      <c r="A131" s="53"/>
      <c r="B131" s="54"/>
      <c r="C131" s="55"/>
      <c r="D131" s="56"/>
      <c r="E131" s="56"/>
      <c r="F131" s="57"/>
      <c r="G131" s="56"/>
      <c r="H131" s="57"/>
      <c r="I131" s="58"/>
      <c r="J131" s="59"/>
      <c r="K131" s="60"/>
      <c r="L131" s="61"/>
    </row>
    <row r="132" spans="1:12" ht="55.2" x14ac:dyDescent="0.3">
      <c r="A132" s="13">
        <f>IFERROR(LOOKUP(2,1/(ISNUMBER($A$4:$A$131)),$A$4:$A$131),0)+1</f>
        <v>14</v>
      </c>
      <c r="B132" s="62" t="s">
        <v>75</v>
      </c>
      <c r="C132" s="129" t="s">
        <v>76</v>
      </c>
      <c r="D132" s="16"/>
      <c r="E132" s="17"/>
      <c r="F132" s="18"/>
      <c r="G132" s="17"/>
      <c r="H132" s="18"/>
      <c r="I132" s="19"/>
      <c r="J132" s="20"/>
      <c r="K132" s="21"/>
      <c r="L132" s="22"/>
    </row>
    <row r="133" spans="1:12" x14ac:dyDescent="0.3">
      <c r="A133" s="23"/>
      <c r="B133" s="24"/>
      <c r="C133" s="25"/>
      <c r="D133" s="26">
        <v>3</v>
      </c>
      <c r="E133" s="26">
        <v>4</v>
      </c>
      <c r="F133" s="27">
        <v>3</v>
      </c>
      <c r="G133" s="26">
        <v>2.25</v>
      </c>
      <c r="H133" s="28">
        <f>D133*IF(OR(E133=0,E133="-"),1,E133)*IF(OR(F133=0,F133="-"),1,F133)*IF(OR(G133=0,G133="-"),1,G133)</f>
        <v>81</v>
      </c>
      <c r="I133" s="29" t="s">
        <v>28</v>
      </c>
      <c r="J133" s="30"/>
      <c r="K133" s="31"/>
      <c r="L133" s="32"/>
    </row>
    <row r="134" spans="1:12" x14ac:dyDescent="0.3">
      <c r="A134" s="23"/>
      <c r="B134" s="24"/>
      <c r="C134" s="25"/>
      <c r="D134" s="26">
        <v>1</v>
      </c>
      <c r="E134" s="26">
        <f>11.25-1.5</f>
        <v>9.75</v>
      </c>
      <c r="F134" s="27">
        <v>3</v>
      </c>
      <c r="G134" s="26">
        <v>2.25</v>
      </c>
      <c r="H134" s="28">
        <f>D134*IF(OR(E134=0,E134="-"),1,E134)*IF(OR(F134=0,F134="-"),1,F134)*IF(OR(G134=0,G134="-"),1,G134)</f>
        <v>65.8125</v>
      </c>
      <c r="I134" s="29" t="s">
        <v>28</v>
      </c>
      <c r="J134" s="30"/>
      <c r="K134" s="31"/>
      <c r="L134" s="32"/>
    </row>
    <row r="135" spans="1:12" x14ac:dyDescent="0.3">
      <c r="A135" s="23"/>
      <c r="B135" s="24"/>
      <c r="C135" s="25" t="s">
        <v>77</v>
      </c>
      <c r="D135" s="26">
        <v>-0.33333333333333331</v>
      </c>
      <c r="E135" s="26">
        <f>H16</f>
        <v>20.068000000000001</v>
      </c>
      <c r="F135" s="27">
        <v>1</v>
      </c>
      <c r="G135" s="26">
        <v>1</v>
      </c>
      <c r="H135" s="28">
        <f>D135*IF(OR(E135=0,E135="-"),1,E135)*IF(OR(F135=0,F135="-"),1,F135)*IF(OR(G135=0,G135="-"),1,G135)</f>
        <v>-6.6893333333333338</v>
      </c>
      <c r="I135" s="29" t="s">
        <v>28</v>
      </c>
      <c r="J135" s="30"/>
      <c r="K135" s="31"/>
      <c r="L135" s="32"/>
    </row>
    <row r="136" spans="1:12" x14ac:dyDescent="0.3">
      <c r="A136" s="33"/>
      <c r="B136" s="34"/>
      <c r="C136" s="35"/>
      <c r="D136" s="36"/>
      <c r="E136" s="36"/>
      <c r="F136" s="119" t="s">
        <v>27</v>
      </c>
      <c r="G136" s="119"/>
      <c r="H136" s="38">
        <f>SUM(H133:H135)</f>
        <v>140.12316666666666</v>
      </c>
      <c r="I136" s="39" t="s">
        <v>28</v>
      </c>
      <c r="J136" s="40"/>
      <c r="K136" s="41" t="str">
        <f>""</f>
        <v/>
      </c>
      <c r="L136" s="42"/>
    </row>
    <row r="137" spans="1:12" ht="31.2" x14ac:dyDescent="0.3">
      <c r="A137" s="43"/>
      <c r="B137" s="44"/>
      <c r="C137" s="45"/>
      <c r="D137" s="46"/>
      <c r="E137" s="47" t="s">
        <v>27</v>
      </c>
      <c r="F137" s="47"/>
      <c r="G137" s="47"/>
      <c r="H137" s="48">
        <f>ROUND(H136*1,3)</f>
        <v>140.12299999999999</v>
      </c>
      <c r="I137" s="49" t="s">
        <v>28</v>
      </c>
      <c r="J137" s="50" t="s">
        <v>19</v>
      </c>
      <c r="K137" s="51">
        <f>IF(B132="10.2",_xlfn.IFS(J137="Labour Rate",73,J137="Material Rate",753,J137="Through Rate",826,TRUE,""),"")</f>
        <v>826</v>
      </c>
      <c r="L137" s="52">
        <f>IF(H137*K137&lt;&gt;0,H137*K137,0)</f>
        <v>115741.598</v>
      </c>
    </row>
    <row r="138" spans="1:12" ht="14.1" customHeight="1" x14ac:dyDescent="0.3">
      <c r="A138" s="53"/>
      <c r="B138" s="54"/>
      <c r="C138" s="55"/>
      <c r="D138" s="56"/>
      <c r="E138" s="56"/>
      <c r="F138" s="57"/>
      <c r="G138" s="56"/>
      <c r="H138" s="57"/>
      <c r="I138" s="58"/>
      <c r="J138" s="59"/>
      <c r="K138" s="60"/>
      <c r="L138" s="61"/>
    </row>
    <row r="139" spans="1:12" ht="150" x14ac:dyDescent="0.3">
      <c r="A139" s="13">
        <f>IFERROR(LOOKUP(2,1/(ISNUMBER($A$4:$A$138)),$A$4:$A$138),0)+1</f>
        <v>15</v>
      </c>
      <c r="B139" s="14" t="s">
        <v>35</v>
      </c>
      <c r="C139" s="15" t="s">
        <v>36</v>
      </c>
      <c r="D139" s="16"/>
      <c r="E139" s="17"/>
      <c r="F139" s="18"/>
      <c r="G139" s="17"/>
      <c r="H139" s="18"/>
      <c r="I139" s="19"/>
      <c r="J139" s="20"/>
      <c r="K139" s="21"/>
      <c r="L139" s="22"/>
    </row>
    <row r="140" spans="1:12" x14ac:dyDescent="0.3">
      <c r="A140" s="23"/>
      <c r="B140" s="24"/>
      <c r="C140" s="25" t="s">
        <v>78</v>
      </c>
      <c r="D140" s="26"/>
      <c r="E140" s="26"/>
      <c r="F140" s="27"/>
      <c r="G140" s="26"/>
      <c r="H140" s="65"/>
      <c r="I140" s="29"/>
      <c r="J140" s="30"/>
      <c r="K140" s="31"/>
      <c r="L140" s="32"/>
    </row>
    <row r="141" spans="1:12" ht="16.2" x14ac:dyDescent="0.3">
      <c r="A141" s="23"/>
      <c r="B141" s="24"/>
      <c r="C141" s="66" t="s">
        <v>38</v>
      </c>
      <c r="D141" s="26"/>
      <c r="E141" s="26"/>
      <c r="F141" s="27"/>
      <c r="G141" s="26"/>
      <c r="H141" s="65"/>
      <c r="I141" s="29"/>
      <c r="J141" s="30"/>
      <c r="K141" s="31"/>
      <c r="L141" s="32"/>
    </row>
    <row r="142" spans="1:12" x14ac:dyDescent="0.3">
      <c r="A142" s="23"/>
      <c r="B142" s="24"/>
      <c r="C142" s="25"/>
      <c r="D142" s="26">
        <v>1</v>
      </c>
      <c r="E142" s="26">
        <v>4</v>
      </c>
      <c r="F142" s="27">
        <v>11.25</v>
      </c>
      <c r="G142" s="26"/>
      <c r="H142" s="28">
        <f>D142*IF(OR(E142=0,E142="-"),1,E142)*IF(OR(F142=0,F142="-"),1,F142)*IF(OR(G142=0,G142="-"),1,G142)</f>
        <v>45</v>
      </c>
      <c r="I142" s="29" t="s">
        <v>39</v>
      </c>
      <c r="J142" s="30"/>
      <c r="K142" s="31"/>
      <c r="L142" s="32"/>
    </row>
    <row r="143" spans="1:12" s="64" customFormat="1" x14ac:dyDescent="0.3">
      <c r="A143" s="33"/>
      <c r="B143" s="34"/>
      <c r="C143" s="35"/>
      <c r="D143" s="36"/>
      <c r="E143" s="36"/>
      <c r="F143" s="37" t="s">
        <v>41</v>
      </c>
      <c r="G143" s="37"/>
      <c r="H143" s="38">
        <f>SUM(H142:H142)</f>
        <v>45</v>
      </c>
      <c r="I143" s="39" t="s">
        <v>39</v>
      </c>
      <c r="J143" s="40"/>
      <c r="K143" s="67"/>
      <c r="L143" s="42"/>
    </row>
    <row r="144" spans="1:12" s="64" customFormat="1" x14ac:dyDescent="0.3">
      <c r="A144" s="68"/>
      <c r="B144" s="44"/>
      <c r="C144" s="45"/>
      <c r="D144" s="46"/>
      <c r="E144" s="47" t="s">
        <v>42</v>
      </c>
      <c r="F144" s="47"/>
      <c r="G144" s="47"/>
      <c r="H144" s="48">
        <f>ROUND(H143*0.3048,3)</f>
        <v>13.715999999999999</v>
      </c>
      <c r="I144" s="69" t="s">
        <v>43</v>
      </c>
      <c r="J144" s="50"/>
      <c r="K144" s="70"/>
      <c r="L144" s="71"/>
    </row>
    <row r="145" spans="1:12" s="64" customFormat="1" ht="30.9" customHeight="1" x14ac:dyDescent="0.3">
      <c r="A145" s="72"/>
      <c r="B145" s="73"/>
      <c r="C145" s="74"/>
      <c r="D145" s="75"/>
      <c r="E145" s="76" t="s">
        <v>44</v>
      </c>
      <c r="F145" s="76"/>
      <c r="G145" s="76"/>
      <c r="H145" s="77">
        <f>(H144*12^2)/162</f>
        <v>12.191999999999998</v>
      </c>
      <c r="I145" s="78" t="s">
        <v>45</v>
      </c>
      <c r="J145" s="79" t="s">
        <v>46</v>
      </c>
      <c r="K145" s="80"/>
      <c r="L145" s="81"/>
    </row>
    <row r="146" spans="1:12" s="64" customFormat="1" ht="14.1" customHeight="1" x14ac:dyDescent="0.3">
      <c r="A146" s="53"/>
      <c r="B146" s="54"/>
      <c r="C146" s="55"/>
      <c r="D146" s="56"/>
      <c r="E146" s="56"/>
      <c r="F146" s="57"/>
      <c r="G146" s="56"/>
      <c r="H146" s="57"/>
      <c r="I146" s="58"/>
      <c r="J146" s="59"/>
      <c r="K146" s="60"/>
      <c r="L146" s="61"/>
    </row>
    <row r="147" spans="1:12" s="64" customFormat="1" x14ac:dyDescent="0.3">
      <c r="A147" s="23"/>
      <c r="B147" s="24"/>
      <c r="C147" s="25" t="s">
        <v>79</v>
      </c>
      <c r="D147" s="26"/>
      <c r="E147" s="26"/>
      <c r="F147" s="27"/>
      <c r="G147" s="26"/>
      <c r="H147" s="65"/>
      <c r="I147" s="29"/>
      <c r="J147" s="30"/>
      <c r="K147" s="31"/>
      <c r="L147" s="32"/>
    </row>
    <row r="148" spans="1:12" s="64" customFormat="1" ht="16.2" x14ac:dyDescent="0.3">
      <c r="A148" s="23"/>
      <c r="B148" s="24"/>
      <c r="C148" s="66" t="s">
        <v>48</v>
      </c>
      <c r="D148" s="26"/>
      <c r="E148" s="26"/>
      <c r="F148" s="27"/>
      <c r="G148" s="26"/>
      <c r="H148" s="65"/>
      <c r="I148" s="29"/>
      <c r="J148" s="30"/>
      <c r="K148" s="31"/>
      <c r="L148" s="32"/>
    </row>
    <row r="149" spans="1:12" s="64" customFormat="1" x14ac:dyDescent="0.3">
      <c r="A149" s="23"/>
      <c r="B149" s="24"/>
      <c r="C149" s="25" t="s">
        <v>80</v>
      </c>
      <c r="D149" s="26"/>
      <c r="E149" s="26"/>
      <c r="F149" s="27"/>
      <c r="G149" s="26"/>
      <c r="H149" s="65"/>
      <c r="I149" s="29"/>
      <c r="J149" s="30"/>
      <c r="K149" s="31"/>
      <c r="L149" s="32"/>
    </row>
    <row r="150" spans="1:12" s="64" customFormat="1" x14ac:dyDescent="0.3">
      <c r="A150" s="23"/>
      <c r="B150" s="24"/>
      <c r="C150" s="25"/>
      <c r="D150" s="26">
        <v>1</v>
      </c>
      <c r="E150" s="26">
        <v>22</v>
      </c>
      <c r="F150" s="27">
        <v>2.1659999999999999</v>
      </c>
      <c r="G150" s="26"/>
      <c r="H150" s="28">
        <f>D150*IF(OR(E150=0,E150="-"),1,E150)*IF(OR(F150=0,F150="-"),1,F150)*IF(OR(G150=0,G150="-"),1,G150)</f>
        <v>47.652000000000001</v>
      </c>
      <c r="I150" s="29" t="s">
        <v>39</v>
      </c>
      <c r="J150" s="30"/>
      <c r="K150" s="31"/>
      <c r="L150" s="32"/>
    </row>
    <row r="151" spans="1:12" x14ac:dyDescent="0.3">
      <c r="A151" s="33"/>
      <c r="B151" s="34"/>
      <c r="C151" s="35"/>
      <c r="D151" s="36"/>
      <c r="E151" s="36"/>
      <c r="F151" s="37" t="s">
        <v>41</v>
      </c>
      <c r="G151" s="37"/>
      <c r="H151" s="38">
        <f>SUM(H150:H150)</f>
        <v>47.652000000000001</v>
      </c>
      <c r="I151" s="39" t="s">
        <v>39</v>
      </c>
      <c r="J151" s="40"/>
      <c r="K151" s="67"/>
      <c r="L151" s="42"/>
    </row>
    <row r="152" spans="1:12" x14ac:dyDescent="0.3">
      <c r="A152" s="68"/>
      <c r="B152" s="44"/>
      <c r="C152" s="45"/>
      <c r="D152" s="46"/>
      <c r="E152" s="47" t="s">
        <v>42</v>
      </c>
      <c r="F152" s="47"/>
      <c r="G152" s="47"/>
      <c r="H152" s="48">
        <f>ROUND(H151*0.3048,3)</f>
        <v>14.523999999999999</v>
      </c>
      <c r="I152" s="69" t="s">
        <v>43</v>
      </c>
      <c r="J152" s="50"/>
      <c r="K152" s="70"/>
      <c r="L152" s="71"/>
    </row>
    <row r="153" spans="1:12" ht="30.9" customHeight="1" x14ac:dyDescent="0.3">
      <c r="A153" s="82"/>
      <c r="B153" s="83"/>
      <c r="C153" s="84"/>
      <c r="D153" s="85"/>
      <c r="E153" s="86" t="s">
        <v>49</v>
      </c>
      <c r="F153" s="86"/>
      <c r="G153" s="86"/>
      <c r="H153" s="87">
        <f>(H152*8^2)/162</f>
        <v>5.7378765432098762</v>
      </c>
      <c r="I153" s="88" t="s">
        <v>45</v>
      </c>
      <c r="J153" s="89" t="s">
        <v>50</v>
      </c>
      <c r="K153" s="90"/>
      <c r="L153" s="91"/>
    </row>
    <row r="154" spans="1:12" ht="14.1" customHeight="1" x14ac:dyDescent="0.3">
      <c r="A154" s="92"/>
      <c r="B154" s="93"/>
      <c r="C154" s="94"/>
      <c r="D154" s="95"/>
      <c r="E154" s="94"/>
      <c r="F154" s="94"/>
      <c r="G154" s="94"/>
      <c r="H154" s="94"/>
      <c r="I154" s="96"/>
      <c r="J154" s="94"/>
      <c r="K154" s="97" t="str">
        <f>""</f>
        <v/>
      </c>
      <c r="L154" s="98"/>
    </row>
    <row r="155" spans="1:12" ht="30.9" customHeight="1" x14ac:dyDescent="0.3">
      <c r="A155" s="99"/>
      <c r="B155" s="100"/>
      <c r="C155" s="101"/>
      <c r="D155" s="100"/>
      <c r="E155" s="102" t="s">
        <v>51</v>
      </c>
      <c r="F155" s="102"/>
      <c r="G155" s="102"/>
      <c r="H155" s="103">
        <f>SUM(H145,H153)</f>
        <v>17.929876543209875</v>
      </c>
      <c r="I155" s="104" t="s">
        <v>45</v>
      </c>
      <c r="J155" s="105" t="s">
        <v>34</v>
      </c>
      <c r="K155" s="106">
        <f>IF(B139="6.34.6",_xlfn.IFS(J155="Labour rates Amnd",6,J155="Material rates Amnd",62,J155="Through rates Amnd",68,J155="Labour Rate",2,J155="Material Rate",59,J155="Through Rate",61,TRUE,""),"")</f>
        <v>68</v>
      </c>
      <c r="L155" s="107">
        <f>IF(H155*K155&lt;&gt;0,H155*K155,0)</f>
        <v>1219.2316049382716</v>
      </c>
    </row>
    <row r="156" spans="1:12" ht="14.1" customHeight="1" x14ac:dyDescent="0.3">
      <c r="A156" s="92"/>
      <c r="B156" s="93"/>
      <c r="C156" s="94"/>
      <c r="D156" s="95"/>
      <c r="E156" s="94"/>
      <c r="F156" s="94"/>
      <c r="G156" s="94"/>
      <c r="H156" s="94"/>
      <c r="I156" s="96"/>
      <c r="J156" s="94"/>
      <c r="K156" s="94"/>
      <c r="L156" s="98"/>
    </row>
    <row r="157" spans="1:12" ht="96.6" x14ac:dyDescent="0.3">
      <c r="A157" s="108">
        <f>IFERROR(LOOKUP(2,1/(ISNUMBER($A$4:$A$156)),$A$4:$A$156),0)+1</f>
        <v>16</v>
      </c>
      <c r="B157" s="109" t="s">
        <v>81</v>
      </c>
      <c r="C157" s="110" t="s">
        <v>82</v>
      </c>
      <c r="D157" s="111"/>
      <c r="E157" s="112"/>
      <c r="F157" s="113"/>
      <c r="G157" s="112"/>
      <c r="H157" s="113"/>
      <c r="I157" s="114"/>
      <c r="J157" s="115"/>
      <c r="K157" s="116"/>
      <c r="L157" s="117"/>
    </row>
    <row r="158" spans="1:12" x14ac:dyDescent="0.3">
      <c r="A158" s="23"/>
      <c r="B158" s="24"/>
      <c r="C158" s="25" t="s">
        <v>78</v>
      </c>
      <c r="D158" s="26"/>
      <c r="E158" s="26"/>
      <c r="F158" s="27"/>
      <c r="G158" s="26"/>
      <c r="H158" s="65"/>
      <c r="I158" s="29"/>
      <c r="J158" s="30"/>
      <c r="K158" s="31"/>
      <c r="L158" s="32"/>
    </row>
    <row r="159" spans="1:12" x14ac:dyDescent="0.3">
      <c r="A159" s="23"/>
      <c r="B159" s="24"/>
      <c r="C159" s="25"/>
      <c r="D159" s="26">
        <v>1</v>
      </c>
      <c r="E159" s="26">
        <v>11.25</v>
      </c>
      <c r="F159" s="27">
        <v>0.75</v>
      </c>
      <c r="G159" s="26">
        <v>0.5</v>
      </c>
      <c r="H159" s="28">
        <f>D159*IF(OR(E159=0,E159="-"),1,E159)*IF(OR(F159=0,F159="-"),1,F159)*IF(OR(G159=0,G159="-"),1,G159)</f>
        <v>4.21875</v>
      </c>
      <c r="I159" s="29" t="s">
        <v>24</v>
      </c>
      <c r="J159" s="30"/>
      <c r="K159" s="31"/>
      <c r="L159" s="32"/>
    </row>
    <row r="160" spans="1:12" s="64" customFormat="1" x14ac:dyDescent="0.3">
      <c r="A160" s="33"/>
      <c r="B160" s="34"/>
      <c r="C160" s="35"/>
      <c r="D160" s="36"/>
      <c r="E160" s="36"/>
      <c r="F160" s="37" t="s">
        <v>26</v>
      </c>
      <c r="G160" s="37"/>
      <c r="H160" s="38">
        <f>SUM(H159:H159)</f>
        <v>4.21875</v>
      </c>
      <c r="I160" s="39" t="s">
        <v>24</v>
      </c>
      <c r="J160" s="40"/>
      <c r="K160" s="41" t="str">
        <f>""</f>
        <v/>
      </c>
      <c r="L160" s="42"/>
    </row>
    <row r="161" spans="1:12" ht="31.2" x14ac:dyDescent="0.3">
      <c r="A161" s="43"/>
      <c r="B161" s="44"/>
      <c r="C161" s="45"/>
      <c r="D161" s="46"/>
      <c r="E161" s="47" t="s">
        <v>27</v>
      </c>
      <c r="F161" s="47"/>
      <c r="G161" s="47"/>
      <c r="H161" s="48">
        <f>ROUND(H160*0.0283,3)</f>
        <v>0.11899999999999999</v>
      </c>
      <c r="I161" s="49" t="s">
        <v>28</v>
      </c>
      <c r="J161" s="50" t="s">
        <v>19</v>
      </c>
      <c r="K161" s="51">
        <f>IF(B157="6.16",_xlfn.IFS(J161="Labour Rate",2909,J161="Material Rate",3203,J161="Through Rate",6113,TRUE,""),"")</f>
        <v>6113</v>
      </c>
      <c r="L161" s="52">
        <f>IF(H161*K161&lt;&gt;0,H161*K161,0)</f>
        <v>727.447</v>
      </c>
    </row>
    <row r="162" spans="1:12" ht="14.1" customHeight="1" x14ac:dyDescent="0.3">
      <c r="A162" s="53"/>
      <c r="B162" s="54"/>
      <c r="C162" s="55"/>
      <c r="D162" s="56"/>
      <c r="E162" s="56"/>
      <c r="F162" s="57"/>
      <c r="G162" s="56"/>
      <c r="H162" s="57"/>
      <c r="I162" s="58"/>
      <c r="J162" s="59"/>
      <c r="K162" s="60"/>
      <c r="L162" s="61"/>
    </row>
    <row r="163" spans="1:12" s="64" customFormat="1" ht="53.4" x14ac:dyDescent="0.3">
      <c r="A163" s="13">
        <f>IFERROR(LOOKUP(2,1/(ISNUMBER($A$4:$A$162)),$A$4:$A$162),0)+1</f>
        <v>17</v>
      </c>
      <c r="B163" s="14" t="s">
        <v>55</v>
      </c>
      <c r="C163" s="15" t="s">
        <v>56</v>
      </c>
      <c r="D163" s="16"/>
      <c r="E163" s="17"/>
      <c r="F163" s="18"/>
      <c r="G163" s="17"/>
      <c r="H163" s="18"/>
      <c r="I163" s="19"/>
      <c r="J163" s="20"/>
      <c r="K163" s="21"/>
      <c r="L163" s="22"/>
    </row>
    <row r="164" spans="1:12" s="64" customFormat="1" x14ac:dyDescent="0.3">
      <c r="A164" s="23"/>
      <c r="B164" s="24"/>
      <c r="C164" s="25" t="s">
        <v>78</v>
      </c>
      <c r="D164" s="26"/>
      <c r="E164" s="26"/>
      <c r="F164" s="27"/>
      <c r="G164" s="26"/>
      <c r="H164" s="65"/>
      <c r="I164" s="29"/>
      <c r="J164" s="30"/>
      <c r="K164" s="31"/>
      <c r="L164" s="32"/>
    </row>
    <row r="165" spans="1:12" s="64" customFormat="1" x14ac:dyDescent="0.3">
      <c r="A165" s="130"/>
      <c r="B165" s="131"/>
      <c r="C165" s="132"/>
      <c r="D165" s="17"/>
      <c r="E165" s="17"/>
      <c r="F165" s="18"/>
      <c r="G165" s="17"/>
      <c r="H165" s="133"/>
      <c r="I165" s="19"/>
      <c r="J165" s="134"/>
      <c r="K165" s="135"/>
      <c r="L165" s="22"/>
    </row>
    <row r="166" spans="1:12" s="64" customFormat="1" x14ac:dyDescent="0.3">
      <c r="A166" s="23"/>
      <c r="B166" s="24"/>
      <c r="C166" s="25"/>
      <c r="D166" s="26">
        <v>2</v>
      </c>
      <c r="E166" s="26">
        <v>11.25</v>
      </c>
      <c r="F166" s="27"/>
      <c r="G166" s="26">
        <v>0.5</v>
      </c>
      <c r="H166" s="28">
        <f>D166*IF(OR(E166=0,E166="-"),1,E166)*IF(OR(F166=0,F166="-"),1,F166)*IF(OR(G166=0,G166="-"),1,G166)</f>
        <v>11.25</v>
      </c>
      <c r="I166" s="29" t="s">
        <v>15</v>
      </c>
      <c r="J166" s="30"/>
      <c r="K166" s="31"/>
      <c r="L166" s="32"/>
    </row>
    <row r="167" spans="1:12" x14ac:dyDescent="0.3">
      <c r="A167" s="33"/>
      <c r="B167" s="34"/>
      <c r="C167" s="35"/>
      <c r="D167" s="36"/>
      <c r="E167" s="36"/>
      <c r="F167" s="37" t="s">
        <v>16</v>
      </c>
      <c r="G167" s="37"/>
      <c r="H167" s="38">
        <f>SUM(H166:H166)</f>
        <v>11.25</v>
      </c>
      <c r="I167" s="39" t="s">
        <v>15</v>
      </c>
      <c r="J167" s="40"/>
      <c r="K167" s="41" t="str">
        <f>""</f>
        <v/>
      </c>
      <c r="L167" s="42"/>
    </row>
    <row r="168" spans="1:12" ht="31.2" x14ac:dyDescent="0.3">
      <c r="A168" s="43"/>
      <c r="B168" s="44"/>
      <c r="C168" s="45"/>
      <c r="D168" s="46"/>
      <c r="E168" s="47" t="s">
        <v>17</v>
      </c>
      <c r="F168" s="47"/>
      <c r="G168" s="47"/>
      <c r="H168" s="48">
        <f>ROUND(H167*0.0929,3)</f>
        <v>1.0449999999999999</v>
      </c>
      <c r="I168" s="49" t="s">
        <v>18</v>
      </c>
      <c r="J168" s="50" t="s">
        <v>19</v>
      </c>
      <c r="K168" s="51">
        <f>IF(B163="6.30.5",_xlfn.IFS(J168="Labour Rate",220,J168="Material Rate",77,J168="Through Rate",296,TRUE,""),"")</f>
        <v>296</v>
      </c>
      <c r="L168" s="52">
        <f>IF(H168*K168&lt;&gt;0,H168*K168,0)</f>
        <v>309.32</v>
      </c>
    </row>
    <row r="169" spans="1:12" ht="14.1" customHeight="1" x14ac:dyDescent="0.3">
      <c r="A169" s="53"/>
      <c r="B169" s="54"/>
      <c r="C169" s="55"/>
      <c r="D169" s="56"/>
      <c r="E169" s="56"/>
      <c r="F169" s="57"/>
      <c r="G169" s="56"/>
      <c r="H169" s="57"/>
      <c r="I169" s="58"/>
      <c r="J169" s="59"/>
      <c r="K169" s="60"/>
      <c r="L169" s="61"/>
    </row>
    <row r="170" spans="1:12" ht="96.6" x14ac:dyDescent="0.3">
      <c r="A170" s="13">
        <f>IFERROR(LOOKUP(2,1/(ISNUMBER($A$4:$A$169)),$A$4:$A$169),0)+1</f>
        <v>18</v>
      </c>
      <c r="B170" s="62" t="s">
        <v>81</v>
      </c>
      <c r="C170" s="15" t="s">
        <v>82</v>
      </c>
      <c r="D170" s="16"/>
      <c r="E170" s="17"/>
      <c r="F170" s="18"/>
      <c r="G170" s="17"/>
      <c r="H170" s="18"/>
      <c r="I170" s="19"/>
      <c r="J170" s="20"/>
      <c r="K170" s="21"/>
      <c r="L170" s="22"/>
    </row>
    <row r="171" spans="1:12" x14ac:dyDescent="0.3">
      <c r="A171" s="23"/>
      <c r="B171" s="24"/>
      <c r="C171" s="25" t="s">
        <v>83</v>
      </c>
      <c r="D171" s="26">
        <v>1</v>
      </c>
      <c r="E171" s="26">
        <v>11.25</v>
      </c>
      <c r="F171" s="27">
        <v>7.5</v>
      </c>
      <c r="G171" s="26">
        <v>0.5</v>
      </c>
      <c r="H171" s="28">
        <f>D171*IF(OR(E171=0,E171="-"),1,E171)*IF(OR(F171=0,F171="-"),1,F171)*IF(OR(G171=0,G171="-"),1,G171)</f>
        <v>42.1875</v>
      </c>
      <c r="I171" s="29" t="s">
        <v>24</v>
      </c>
      <c r="J171" s="30"/>
      <c r="K171" s="31"/>
      <c r="L171" s="32"/>
    </row>
    <row r="172" spans="1:12" x14ac:dyDescent="0.3">
      <c r="A172" s="33"/>
      <c r="B172" s="34"/>
      <c r="C172" s="35"/>
      <c r="D172" s="36"/>
      <c r="E172" s="36"/>
      <c r="F172" s="37" t="s">
        <v>26</v>
      </c>
      <c r="G172" s="37"/>
      <c r="H172" s="38">
        <f>SUM(H171:H171)</f>
        <v>42.1875</v>
      </c>
      <c r="I172" s="39" t="s">
        <v>24</v>
      </c>
      <c r="J172" s="40"/>
      <c r="K172" s="41" t="str">
        <f>""</f>
        <v/>
      </c>
      <c r="L172" s="42"/>
    </row>
    <row r="173" spans="1:12" ht="31.2" x14ac:dyDescent="0.3">
      <c r="A173" s="43"/>
      <c r="B173" s="44"/>
      <c r="C173" s="45"/>
      <c r="D173" s="46"/>
      <c r="E173" s="47" t="s">
        <v>27</v>
      </c>
      <c r="F173" s="47"/>
      <c r="G173" s="47"/>
      <c r="H173" s="48">
        <f>ROUND(H172*0.0283,3)</f>
        <v>1.194</v>
      </c>
      <c r="I173" s="49" t="s">
        <v>28</v>
      </c>
      <c r="J173" s="50" t="s">
        <v>19</v>
      </c>
      <c r="K173" s="51">
        <f>IF(B170="6.16",_xlfn.IFS(J173="Labour Rate",2909,J173="Material Rate",3203,J173="Through Rate",6113,TRUE,""),"")</f>
        <v>6113</v>
      </c>
      <c r="L173" s="52">
        <f>IF(H173*K173&lt;&gt;0,H173*K173,0)</f>
        <v>7298.9219999999996</v>
      </c>
    </row>
    <row r="174" spans="1:12" ht="14.1" customHeight="1" x14ac:dyDescent="0.3">
      <c r="A174" s="53"/>
      <c r="B174" s="54"/>
      <c r="C174" s="55"/>
      <c r="D174" s="56"/>
      <c r="E174" s="56"/>
      <c r="F174" s="57"/>
      <c r="G174" s="56"/>
      <c r="H174" s="57"/>
      <c r="I174" s="58"/>
      <c r="J174" s="59"/>
      <c r="K174" s="60"/>
      <c r="L174" s="61"/>
    </row>
    <row r="175" spans="1:12" ht="150" x14ac:dyDescent="0.3">
      <c r="A175" s="13">
        <f>IFERROR(LOOKUP(2,1/(ISNUMBER($A$4:$A$174)),$A$4:$A$174),0)+1</f>
        <v>19</v>
      </c>
      <c r="B175" s="14" t="s">
        <v>35</v>
      </c>
      <c r="C175" s="15" t="s">
        <v>36</v>
      </c>
      <c r="D175" s="16"/>
      <c r="E175" s="17"/>
      <c r="F175" s="18"/>
      <c r="G175" s="17"/>
      <c r="H175" s="18"/>
      <c r="I175" s="19"/>
      <c r="J175" s="20"/>
      <c r="K175" s="21"/>
      <c r="L175" s="22"/>
    </row>
    <row r="176" spans="1:12" x14ac:dyDescent="0.3">
      <c r="A176" s="23"/>
      <c r="B176" s="24"/>
      <c r="C176" s="25" t="s">
        <v>84</v>
      </c>
      <c r="D176" s="136">
        <v>120</v>
      </c>
      <c r="E176" s="26"/>
      <c r="F176" s="27">
        <f>H173</f>
        <v>1.194</v>
      </c>
      <c r="G176" s="26"/>
      <c r="H176" s="28">
        <f>D176*IF(OR(E176=0,E176="-"),1,E176)*IF(OR(F176=0,F176="-"),1,F176)*IF(OR(G176=0,G176="-"),1,G176)</f>
        <v>143.28</v>
      </c>
      <c r="I176" s="29" t="s">
        <v>85</v>
      </c>
      <c r="J176" s="30"/>
      <c r="K176" s="31"/>
      <c r="L176" s="32"/>
    </row>
    <row r="177" spans="1:12" x14ac:dyDescent="0.3">
      <c r="A177" s="33"/>
      <c r="B177" s="34"/>
      <c r="C177" s="35"/>
      <c r="D177" s="36"/>
      <c r="E177" s="36"/>
      <c r="F177" s="37" t="s">
        <v>86</v>
      </c>
      <c r="G177" s="37"/>
      <c r="H177" s="38">
        <f>SUM(H176:H176)</f>
        <v>143.28</v>
      </c>
      <c r="I177" s="39" t="s">
        <v>85</v>
      </c>
      <c r="J177" s="40"/>
      <c r="K177" s="41" t="str">
        <f>""</f>
        <v/>
      </c>
      <c r="L177" s="42"/>
    </row>
    <row r="178" spans="1:12" ht="46.8" x14ac:dyDescent="0.3">
      <c r="A178" s="43"/>
      <c r="B178" s="44"/>
      <c r="C178" s="45"/>
      <c r="D178" s="46"/>
      <c r="E178" s="47" t="s">
        <v>74</v>
      </c>
      <c r="F178" s="47"/>
      <c r="G178" s="47"/>
      <c r="H178" s="48">
        <f>ROUND(H177*1,3)</f>
        <v>143.28</v>
      </c>
      <c r="I178" s="49" t="s">
        <v>45</v>
      </c>
      <c r="J178" s="50" t="s">
        <v>34</v>
      </c>
      <c r="K178" s="51">
        <f>IF(B175="6.34.6",_xlfn.IFS(J178="Labour rates Amnd",6,J178="Material rates Amnd",62,J178="Through rates Amnd",68,J178="Labour Rate",2,J178="Material Rate",59,J178="Through Rate",61,TRUE,""),"")</f>
        <v>68</v>
      </c>
      <c r="L178" s="52">
        <f>IF(H178*K178&lt;&gt;0,H178*K178,0)</f>
        <v>9743.0400000000009</v>
      </c>
    </row>
    <row r="179" spans="1:12" ht="14.1" customHeight="1" x14ac:dyDescent="0.3">
      <c r="A179" s="53"/>
      <c r="B179" s="54"/>
      <c r="C179" s="55"/>
      <c r="D179" s="56"/>
      <c r="E179" s="56"/>
      <c r="F179" s="57"/>
      <c r="G179" s="56"/>
      <c r="H179" s="57"/>
      <c r="I179" s="58"/>
      <c r="J179" s="59"/>
      <c r="K179" s="60"/>
      <c r="L179" s="61"/>
    </row>
    <row r="180" spans="1:12" ht="53.4" x14ac:dyDescent="0.3">
      <c r="A180" s="13">
        <f>IFERROR(LOOKUP(2,1/(ISNUMBER($A$4:$A$179)),$A$4:$A$179),0)+1</f>
        <v>20</v>
      </c>
      <c r="B180" s="137" t="s">
        <v>87</v>
      </c>
      <c r="C180" s="15" t="s">
        <v>88</v>
      </c>
      <c r="D180" s="16"/>
      <c r="E180" s="17"/>
      <c r="F180" s="18"/>
      <c r="G180" s="17"/>
      <c r="H180" s="18"/>
      <c r="I180" s="19"/>
      <c r="J180" s="20"/>
      <c r="K180" s="21"/>
      <c r="L180" s="22"/>
    </row>
    <row r="181" spans="1:12" x14ac:dyDescent="0.3">
      <c r="A181" s="23"/>
      <c r="B181" s="24"/>
      <c r="C181" s="25"/>
      <c r="D181" s="26">
        <v>3</v>
      </c>
      <c r="E181" s="26">
        <v>4</v>
      </c>
      <c r="F181" s="27">
        <v>3</v>
      </c>
      <c r="G181" s="26"/>
      <c r="H181" s="28">
        <f>D181*IF(OR(E181=0,E181="-"),1,E181)*IF(OR(F181=0,F181="-"),1,F181)*IF(OR(G181=0,G181="-"),1,G181)</f>
        <v>36</v>
      </c>
      <c r="I181" s="29" t="s">
        <v>15</v>
      </c>
      <c r="J181" s="30"/>
      <c r="K181" s="31"/>
      <c r="L181" s="32"/>
    </row>
    <row r="182" spans="1:12" x14ac:dyDescent="0.3">
      <c r="A182" s="23"/>
      <c r="B182" s="24"/>
      <c r="C182" s="25"/>
      <c r="D182" s="26">
        <v>1</v>
      </c>
      <c r="E182" s="26">
        <f>11.25-1.5</f>
        <v>9.75</v>
      </c>
      <c r="F182" s="27">
        <v>2</v>
      </c>
      <c r="G182" s="26"/>
      <c r="H182" s="28">
        <f>D182*IF(OR(E182=0,E182="-"),1,E182)*IF(OR(F182=0,F182="-"),1,F182)*IF(OR(G182=0,G182="-"),1,G182)</f>
        <v>19.5</v>
      </c>
      <c r="I182" s="29" t="s">
        <v>15</v>
      </c>
      <c r="J182" s="30"/>
      <c r="K182" s="31"/>
      <c r="L182" s="32"/>
    </row>
    <row r="183" spans="1:12" x14ac:dyDescent="0.3">
      <c r="A183" s="33"/>
      <c r="B183" s="34"/>
      <c r="C183" s="35"/>
      <c r="D183" s="36"/>
      <c r="E183" s="36"/>
      <c r="F183" s="37" t="s">
        <v>16</v>
      </c>
      <c r="G183" s="37"/>
      <c r="H183" s="38">
        <f>SUM(H181:H182)</f>
        <v>55.5</v>
      </c>
      <c r="I183" s="39" t="s">
        <v>15</v>
      </c>
      <c r="J183" s="40"/>
      <c r="K183" s="41" t="str">
        <f>""</f>
        <v/>
      </c>
      <c r="L183" s="42"/>
    </row>
    <row r="184" spans="1:12" ht="31.2" x14ac:dyDescent="0.3">
      <c r="A184" s="43"/>
      <c r="B184" s="44"/>
      <c r="C184" s="45"/>
      <c r="D184" s="46"/>
      <c r="E184" s="47" t="s">
        <v>17</v>
      </c>
      <c r="F184" s="47"/>
      <c r="G184" s="47"/>
      <c r="H184" s="48">
        <f>ROUND(H183*0.0929,3)</f>
        <v>5.1559999999999997</v>
      </c>
      <c r="I184" s="49" t="s">
        <v>18</v>
      </c>
      <c r="J184" s="50" t="s">
        <v>19</v>
      </c>
      <c r="K184" s="51">
        <f>IF(B180="6.30.3",_xlfn.IFS(J184="Labour Rate",141,J184="Material Rate",67,J184="Through Rate",208,TRUE,""),"")</f>
        <v>208</v>
      </c>
      <c r="L184" s="52">
        <f>IF(H184*K184&lt;&gt;0,H184*K184,0)</f>
        <v>1072.4479999999999</v>
      </c>
    </row>
    <row r="185" spans="1:12" ht="14.1" customHeight="1" x14ac:dyDescent="0.3">
      <c r="A185" s="53"/>
      <c r="B185" s="54"/>
      <c r="C185" s="55"/>
      <c r="D185" s="56"/>
      <c r="E185" s="56"/>
      <c r="F185" s="57"/>
      <c r="G185" s="56"/>
      <c r="H185" s="57"/>
      <c r="I185" s="58"/>
      <c r="J185" s="59"/>
      <c r="K185" s="60"/>
      <c r="L185" s="61"/>
    </row>
    <row r="186" spans="1:12" ht="53.4" x14ac:dyDescent="0.3">
      <c r="A186" s="13">
        <f>IFERROR(LOOKUP(2,1/(ISNUMBER($A$4:$A$185)),$A$4:$A$185),0)+1</f>
        <v>21</v>
      </c>
      <c r="B186" s="14" t="s">
        <v>60</v>
      </c>
      <c r="C186" s="15" t="s">
        <v>61</v>
      </c>
      <c r="D186" s="16"/>
      <c r="E186" s="17"/>
      <c r="F186" s="18"/>
      <c r="G186" s="17"/>
      <c r="H186" s="18"/>
      <c r="I186" s="19"/>
      <c r="J186" s="20"/>
      <c r="K186" s="21"/>
      <c r="L186" s="22"/>
    </row>
    <row r="187" spans="1:12" x14ac:dyDescent="0.3">
      <c r="A187" s="23"/>
      <c r="B187" s="24"/>
      <c r="C187" s="25" t="s">
        <v>89</v>
      </c>
      <c r="D187" s="26"/>
      <c r="E187" s="26"/>
      <c r="F187" s="27"/>
      <c r="G187" s="26"/>
      <c r="H187" s="65"/>
      <c r="I187" s="29"/>
      <c r="J187" s="30"/>
      <c r="K187" s="31"/>
      <c r="L187" s="32"/>
    </row>
    <row r="188" spans="1:12" x14ac:dyDescent="0.3">
      <c r="A188" s="23"/>
      <c r="B188" s="24"/>
      <c r="C188" s="25"/>
      <c r="D188" s="26">
        <v>2</v>
      </c>
      <c r="E188" s="26">
        <v>11.25</v>
      </c>
      <c r="F188" s="27">
        <v>0.75</v>
      </c>
      <c r="G188" s="26">
        <v>0.75</v>
      </c>
      <c r="H188" s="28">
        <f>D188*IF(OR(E188=0,E188="-"),1,E188)*IF(OR(F188=0,F188="-"),1,F188)*IF(OR(G188=0,G188="-"),1,G188)</f>
        <v>12.65625</v>
      </c>
      <c r="I188" s="29" t="s">
        <v>24</v>
      </c>
      <c r="J188" s="30"/>
      <c r="K188" s="31"/>
      <c r="L188" s="32"/>
    </row>
    <row r="189" spans="1:12" x14ac:dyDescent="0.3">
      <c r="A189" s="23"/>
      <c r="B189" s="24"/>
      <c r="C189" s="25"/>
      <c r="D189" s="26">
        <v>2</v>
      </c>
      <c r="E189" s="26">
        <v>6</v>
      </c>
      <c r="F189" s="27">
        <v>0.75</v>
      </c>
      <c r="G189" s="26">
        <v>0.75</v>
      </c>
      <c r="H189" s="28">
        <f>D189*IF(OR(E189=0,E189="-"),1,E189)*IF(OR(F189=0,F189="-"),1,F189)*IF(OR(G189=0,G189="-"),1,G189)</f>
        <v>6.75</v>
      </c>
      <c r="I189" s="29" t="s">
        <v>24</v>
      </c>
      <c r="J189" s="30"/>
      <c r="K189" s="31"/>
      <c r="L189" s="32"/>
    </row>
    <row r="190" spans="1:12" x14ac:dyDescent="0.3">
      <c r="A190" s="33"/>
      <c r="B190" s="34"/>
      <c r="C190" s="35"/>
      <c r="D190" s="36"/>
      <c r="E190" s="36"/>
      <c r="F190" s="37" t="s">
        <v>26</v>
      </c>
      <c r="G190" s="37"/>
      <c r="H190" s="38">
        <f>SUM(H188:H189)</f>
        <v>19.40625</v>
      </c>
      <c r="I190" s="39" t="s">
        <v>24</v>
      </c>
      <c r="J190" s="40"/>
      <c r="K190" s="41" t="str">
        <f>""</f>
        <v/>
      </c>
      <c r="L190" s="42"/>
    </row>
    <row r="191" spans="1:12" ht="46.8" x14ac:dyDescent="0.3">
      <c r="A191" s="43"/>
      <c r="B191" s="44"/>
      <c r="C191" s="45"/>
      <c r="D191" s="46"/>
      <c r="E191" s="47" t="s">
        <v>27</v>
      </c>
      <c r="F191" s="47"/>
      <c r="G191" s="47"/>
      <c r="H191" s="48">
        <f>ROUND(H190*0.0283,3)</f>
        <v>0.54900000000000004</v>
      </c>
      <c r="I191" s="49" t="s">
        <v>28</v>
      </c>
      <c r="J191" s="50" t="s">
        <v>34</v>
      </c>
      <c r="K191" s="51">
        <f>IF(B186="7.22.2",_xlfn.IFS(J191="Labour rates Amnd",1099,J191="Material rates Amnd",3389,J191="Through rates Amnd",4488,J191="Labour Rate",572,J191="Material Rate",3389,J191="Through Rate",3961,TRUE,""),"")</f>
        <v>4488</v>
      </c>
      <c r="L191" s="52">
        <f>IF(H191*K191&lt;&gt;0,H191*K191,0)</f>
        <v>2463.9120000000003</v>
      </c>
    </row>
    <row r="192" spans="1:12" ht="14.1" customHeight="1" x14ac:dyDescent="0.3">
      <c r="A192" s="53"/>
      <c r="B192" s="54"/>
      <c r="C192" s="55"/>
      <c r="D192" s="56"/>
      <c r="E192" s="56"/>
      <c r="F192" s="57"/>
      <c r="G192" s="56"/>
      <c r="H192" s="57"/>
      <c r="I192" s="58"/>
      <c r="J192" s="59"/>
      <c r="K192" s="60"/>
      <c r="L192" s="61"/>
    </row>
    <row r="193" spans="1:12" ht="108.6" x14ac:dyDescent="0.3">
      <c r="A193" s="13">
        <f>IFERROR(LOOKUP(2,1/(ISNUMBER($A$4:$A$192)),$A$4:$A$192),0)+1</f>
        <v>22</v>
      </c>
      <c r="B193" s="14" t="s">
        <v>90</v>
      </c>
      <c r="C193" s="15" t="s">
        <v>91</v>
      </c>
      <c r="D193" s="16"/>
      <c r="E193" s="17"/>
      <c r="F193" s="138"/>
      <c r="G193" s="17"/>
      <c r="H193" s="18"/>
      <c r="I193" s="19"/>
      <c r="J193" s="20"/>
      <c r="K193" s="21"/>
      <c r="L193" s="22"/>
    </row>
    <row r="194" spans="1:12" x14ac:dyDescent="0.3">
      <c r="A194" s="23"/>
      <c r="B194" s="24"/>
      <c r="C194" s="25"/>
      <c r="D194" s="26">
        <v>1</v>
      </c>
      <c r="E194" s="26">
        <f>11.25-1.5</f>
        <v>9.75</v>
      </c>
      <c r="F194" s="27">
        <v>7</v>
      </c>
      <c r="G194" s="26"/>
      <c r="H194" s="28">
        <f>D194*IF(OR(E194=0,E194="-"),1,E194)*IF(OR(F194=0,F194="-"),1,F194)*IF(OR(G194=0,G194="-"),1,G194)</f>
        <v>68.25</v>
      </c>
      <c r="I194" s="29" t="s">
        <v>15</v>
      </c>
      <c r="J194" s="30"/>
      <c r="K194" s="31"/>
      <c r="L194" s="32"/>
    </row>
    <row r="195" spans="1:12" x14ac:dyDescent="0.3">
      <c r="A195" s="33"/>
      <c r="B195" s="34"/>
      <c r="C195" s="35"/>
      <c r="D195" s="36"/>
      <c r="E195" s="36"/>
      <c r="F195" s="37" t="s">
        <v>16</v>
      </c>
      <c r="G195" s="37"/>
      <c r="H195" s="38">
        <f>SUM(H194:H194)</f>
        <v>68.25</v>
      </c>
      <c r="I195" s="39" t="s">
        <v>15</v>
      </c>
      <c r="J195" s="40"/>
      <c r="K195" s="41" t="str">
        <f>""</f>
        <v/>
      </c>
      <c r="L195" s="42"/>
    </row>
    <row r="196" spans="1:12" ht="31.2" x14ac:dyDescent="0.3">
      <c r="A196" s="43"/>
      <c r="B196" s="44"/>
      <c r="C196" s="45"/>
      <c r="D196" s="46"/>
      <c r="E196" s="47" t="s">
        <v>17</v>
      </c>
      <c r="F196" s="47"/>
      <c r="G196" s="47"/>
      <c r="H196" s="48">
        <f>ROUND(H195*0.0929,3)</f>
        <v>6.34</v>
      </c>
      <c r="I196" s="49" t="s">
        <v>18</v>
      </c>
      <c r="J196" s="50" t="s">
        <v>19</v>
      </c>
      <c r="K196" s="51">
        <f>IF(B193="9.11.1",_xlfn.IFS(J196="Labour Rate",200,J196="Material Rate",288,J196="Through Rate",488,TRUE,""),"")</f>
        <v>488</v>
      </c>
      <c r="L196" s="52">
        <f>IF(H196*K196&lt;&gt;0,H196*K196,0)</f>
        <v>3093.92</v>
      </c>
    </row>
    <row r="197" spans="1:12" ht="14.1" customHeight="1" x14ac:dyDescent="0.3">
      <c r="A197" s="53"/>
      <c r="B197" s="54"/>
      <c r="C197" s="55"/>
      <c r="D197" s="56"/>
      <c r="E197" s="56"/>
      <c r="F197" s="57"/>
      <c r="G197" s="56"/>
      <c r="H197" s="57"/>
      <c r="I197" s="58"/>
      <c r="J197" s="59"/>
      <c r="K197" s="60"/>
      <c r="L197" s="61"/>
    </row>
    <row r="198" spans="1:12" s="64" customFormat="1" ht="41.4" x14ac:dyDescent="0.3">
      <c r="A198" s="13">
        <f>IFERROR(LOOKUP(2,1/(ISNUMBER($A$4:$A$197)),$A$4:$A$197),0)+1</f>
        <v>23</v>
      </c>
      <c r="B198" s="62" t="s">
        <v>92</v>
      </c>
      <c r="C198" s="15" t="s">
        <v>93</v>
      </c>
      <c r="D198" s="16"/>
      <c r="E198" s="17"/>
      <c r="F198" s="18"/>
      <c r="G198" s="17"/>
      <c r="H198" s="18"/>
      <c r="I198" s="19"/>
      <c r="J198" s="20"/>
      <c r="K198" s="21"/>
      <c r="L198" s="22"/>
    </row>
    <row r="199" spans="1:12" s="64" customFormat="1" x14ac:dyDescent="0.3">
      <c r="A199" s="23"/>
      <c r="B199" s="24"/>
      <c r="C199" s="25"/>
      <c r="D199" s="26">
        <v>3</v>
      </c>
      <c r="E199" s="26">
        <v>4</v>
      </c>
      <c r="F199" s="27">
        <v>3</v>
      </c>
      <c r="G199" s="26"/>
      <c r="H199" s="28">
        <f>D199*IF(OR(E199=0,E199="-"),1,E199)*IF(OR(F199=0,F199="-"),1,F199)*IF(OR(G199=0,G199="-"),1,G199)</f>
        <v>36</v>
      </c>
      <c r="I199" s="29" t="s">
        <v>15</v>
      </c>
      <c r="J199" s="30"/>
      <c r="K199" s="31"/>
      <c r="L199" s="32"/>
    </row>
    <row r="200" spans="1:12" s="64" customFormat="1" x14ac:dyDescent="0.3">
      <c r="A200" s="23"/>
      <c r="B200" s="24"/>
      <c r="C200" s="25"/>
      <c r="D200" s="26">
        <v>1</v>
      </c>
      <c r="E200" s="26">
        <v>11.25</v>
      </c>
      <c r="F200" s="27">
        <v>3</v>
      </c>
      <c r="G200" s="26"/>
      <c r="H200" s="28">
        <f>D200*IF(OR(E200=0,E200="-"),1,E200)*IF(OR(F200=0,F200="-"),1,F200)*IF(OR(G200=0,G200="-"),1,G200)</f>
        <v>33.75</v>
      </c>
      <c r="I200" s="29" t="s">
        <v>15</v>
      </c>
      <c r="J200" s="30"/>
      <c r="K200" s="31"/>
      <c r="L200" s="32"/>
    </row>
    <row r="201" spans="1:12" x14ac:dyDescent="0.3">
      <c r="A201" s="33"/>
      <c r="B201" s="34"/>
      <c r="C201" s="35"/>
      <c r="D201" s="36"/>
      <c r="E201" s="36"/>
      <c r="F201" s="37" t="s">
        <v>16</v>
      </c>
      <c r="G201" s="37"/>
      <c r="H201" s="38">
        <f>SUM(H199:H200)</f>
        <v>69.75</v>
      </c>
      <c r="I201" s="39" t="s">
        <v>15</v>
      </c>
      <c r="J201" s="40"/>
      <c r="K201" s="41" t="str">
        <f>""</f>
        <v/>
      </c>
      <c r="L201" s="42"/>
    </row>
    <row r="202" spans="1:12" ht="31.2" x14ac:dyDescent="0.3">
      <c r="A202" s="43"/>
      <c r="B202" s="44"/>
      <c r="C202" s="45"/>
      <c r="D202" s="46"/>
      <c r="E202" s="47" t="s">
        <v>17</v>
      </c>
      <c r="F202" s="47"/>
      <c r="G202" s="47"/>
      <c r="H202" s="48">
        <f>ROUND(H201*0.0929,3)</f>
        <v>6.48</v>
      </c>
      <c r="I202" s="49" t="s">
        <v>18</v>
      </c>
      <c r="J202" s="50" t="s">
        <v>19</v>
      </c>
      <c r="K202" s="51">
        <f>IF(B198="10.1",_xlfn.IFS(J202="Labour Rate",66,J202="Material Rate",194,J202="Through Rate",260,TRUE,""),"")</f>
        <v>260</v>
      </c>
      <c r="L202" s="52">
        <f>IF(H202*K202&lt;&gt;0,H202*K202,0)</f>
        <v>1684.8000000000002</v>
      </c>
    </row>
    <row r="203" spans="1:12" ht="14.1" customHeight="1" x14ac:dyDescent="0.3">
      <c r="A203" s="53"/>
      <c r="B203" s="54"/>
      <c r="C203" s="55"/>
      <c r="D203" s="56"/>
      <c r="E203" s="56"/>
      <c r="F203" s="57"/>
      <c r="G203" s="56"/>
      <c r="H203" s="57"/>
      <c r="I203" s="58"/>
      <c r="J203" s="59"/>
      <c r="K203" s="60"/>
      <c r="L203" s="61"/>
    </row>
    <row r="204" spans="1:12" ht="39.6" x14ac:dyDescent="0.3">
      <c r="A204" s="13">
        <f>IFERROR(LOOKUP(2,1/(ISNUMBER($A$4:$A$203)),$A$4:$A$203),0)+1</f>
        <v>24</v>
      </c>
      <c r="B204" s="14" t="s">
        <v>94</v>
      </c>
      <c r="C204" s="15" t="s">
        <v>95</v>
      </c>
      <c r="D204" s="16"/>
      <c r="E204" s="17"/>
      <c r="F204" s="18"/>
      <c r="G204" s="17"/>
      <c r="H204" s="18"/>
      <c r="I204" s="19"/>
      <c r="J204" s="20"/>
      <c r="K204" s="21"/>
      <c r="L204" s="22"/>
    </row>
    <row r="205" spans="1:12" x14ac:dyDescent="0.3">
      <c r="A205" s="23"/>
      <c r="B205" s="24"/>
      <c r="C205" s="25" t="s">
        <v>96</v>
      </c>
      <c r="D205" s="26"/>
      <c r="E205" s="26"/>
      <c r="F205" s="27"/>
      <c r="G205" s="26"/>
      <c r="H205" s="65"/>
      <c r="I205" s="29"/>
      <c r="J205" s="30"/>
      <c r="K205" s="31"/>
      <c r="L205" s="32"/>
    </row>
    <row r="206" spans="1:12" x14ac:dyDescent="0.3">
      <c r="A206" s="23"/>
      <c r="B206" s="24"/>
      <c r="C206" s="25" t="s">
        <v>97</v>
      </c>
      <c r="D206" s="26"/>
      <c r="E206" s="26"/>
      <c r="F206" s="27"/>
      <c r="G206" s="26"/>
      <c r="H206" s="65" t="s">
        <v>98</v>
      </c>
      <c r="I206" s="29"/>
      <c r="J206" s="30"/>
      <c r="K206" s="31"/>
      <c r="L206" s="32"/>
    </row>
    <row r="207" spans="1:12" x14ac:dyDescent="0.3">
      <c r="A207" s="23"/>
      <c r="B207" s="24"/>
      <c r="C207" s="25"/>
      <c r="D207" s="26">
        <v>1</v>
      </c>
      <c r="E207" s="26">
        <v>11.25</v>
      </c>
      <c r="F207" s="27" t="s">
        <v>99</v>
      </c>
      <c r="G207" s="26">
        <v>12</v>
      </c>
      <c r="H207" s="28">
        <f t="shared" ref="H207:H212" si="2">D207*IF(OR(E207=0,E207="-"),1,E207)*IF(OR(F207=0,F207="-"),1,F207)*IF(OR(G207=0,G207="-"),1,G207)</f>
        <v>135</v>
      </c>
      <c r="I207" s="29" t="s">
        <v>15</v>
      </c>
      <c r="J207" s="30"/>
      <c r="K207" s="31"/>
      <c r="L207" s="32"/>
    </row>
    <row r="208" spans="1:12" x14ac:dyDescent="0.3">
      <c r="A208" s="23"/>
      <c r="B208" s="24"/>
      <c r="C208" s="25"/>
      <c r="D208" s="26">
        <v>1</v>
      </c>
      <c r="E208" s="26">
        <v>11.25</v>
      </c>
      <c r="F208" s="27" t="s">
        <v>99</v>
      </c>
      <c r="G208" s="26">
        <v>10</v>
      </c>
      <c r="H208" s="28">
        <f t="shared" si="2"/>
        <v>112.5</v>
      </c>
      <c r="I208" s="29" t="s">
        <v>15</v>
      </c>
      <c r="J208" s="30"/>
      <c r="K208" s="31"/>
      <c r="L208" s="32"/>
    </row>
    <row r="209" spans="1:12" x14ac:dyDescent="0.3">
      <c r="A209" s="23"/>
      <c r="B209" s="24"/>
      <c r="C209" s="25"/>
      <c r="D209" s="26">
        <v>2</v>
      </c>
      <c r="E209" s="26">
        <v>5.5</v>
      </c>
      <c r="F209" s="27"/>
      <c r="G209" s="26">
        <v>12</v>
      </c>
      <c r="H209" s="28">
        <f t="shared" si="2"/>
        <v>132</v>
      </c>
      <c r="I209" s="29" t="s">
        <v>15</v>
      </c>
      <c r="J209" s="30"/>
      <c r="K209" s="31"/>
      <c r="L209" s="32"/>
    </row>
    <row r="210" spans="1:12" x14ac:dyDescent="0.3">
      <c r="A210" s="23"/>
      <c r="B210" s="24"/>
      <c r="C210" s="25"/>
      <c r="D210" s="26">
        <v>1</v>
      </c>
      <c r="E210" s="26">
        <v>3.75</v>
      </c>
      <c r="F210" s="27"/>
      <c r="G210" s="26">
        <v>8</v>
      </c>
      <c r="H210" s="28">
        <f t="shared" si="2"/>
        <v>30</v>
      </c>
      <c r="I210" s="29" t="s">
        <v>15</v>
      </c>
      <c r="J210" s="30"/>
      <c r="K210" s="31"/>
      <c r="L210" s="32"/>
    </row>
    <row r="211" spans="1:12" x14ac:dyDescent="0.3">
      <c r="A211" s="23"/>
      <c r="B211" s="24"/>
      <c r="C211" s="25" t="s">
        <v>62</v>
      </c>
      <c r="D211" s="26">
        <v>-3</v>
      </c>
      <c r="E211" s="26">
        <v>2.5</v>
      </c>
      <c r="F211" s="27"/>
      <c r="G211" s="26">
        <v>7</v>
      </c>
      <c r="H211" s="28">
        <f t="shared" si="2"/>
        <v>-52.5</v>
      </c>
      <c r="I211" s="29" t="s">
        <v>15</v>
      </c>
      <c r="J211" s="30"/>
      <c r="K211" s="31"/>
      <c r="L211" s="32"/>
    </row>
    <row r="212" spans="1:12" x14ac:dyDescent="0.3">
      <c r="A212" s="23"/>
      <c r="B212" s="24"/>
      <c r="C212" s="25" t="s">
        <v>63</v>
      </c>
      <c r="D212" s="26">
        <v>-3</v>
      </c>
      <c r="E212" s="26">
        <v>1.5</v>
      </c>
      <c r="F212" s="27"/>
      <c r="G212" s="26">
        <v>1.5</v>
      </c>
      <c r="H212" s="28">
        <f t="shared" si="2"/>
        <v>-6.75</v>
      </c>
      <c r="I212" s="29" t="s">
        <v>15</v>
      </c>
      <c r="J212" s="30"/>
      <c r="K212" s="31"/>
      <c r="L212" s="32"/>
    </row>
    <row r="213" spans="1:12" x14ac:dyDescent="0.3">
      <c r="A213" s="33"/>
      <c r="B213" s="34"/>
      <c r="C213" s="35"/>
      <c r="D213" s="36"/>
      <c r="E213" s="36"/>
      <c r="F213" s="37" t="s">
        <v>16</v>
      </c>
      <c r="G213" s="37"/>
      <c r="H213" s="38">
        <f>SUM(H207:H212)</f>
        <v>350.25</v>
      </c>
      <c r="I213" s="39" t="s">
        <v>15</v>
      </c>
      <c r="J213" s="40"/>
      <c r="K213" s="41" t="str">
        <f>""</f>
        <v/>
      </c>
      <c r="L213" s="42"/>
    </row>
    <row r="214" spans="1:12" ht="46.8" x14ac:dyDescent="0.3">
      <c r="A214" s="43"/>
      <c r="B214" s="44"/>
      <c r="C214" s="45"/>
      <c r="D214" s="46"/>
      <c r="E214" s="47" t="s">
        <v>17</v>
      </c>
      <c r="F214" s="47"/>
      <c r="G214" s="47"/>
      <c r="H214" s="48">
        <f>ROUND(H213*0.0929,3)</f>
        <v>32.537999999999997</v>
      </c>
      <c r="I214" s="49" t="s">
        <v>18</v>
      </c>
      <c r="J214" s="50" t="s">
        <v>34</v>
      </c>
      <c r="K214" s="51">
        <f>IF(B204="11.5.3",_xlfn.IFS(J214="Labour rates Amnd",71,J214="Material rates Amnd",42,J214="Through rates Amnd",113,J214="Labour Rate",42,J214="Material Rate",42,J214="Through Rate",84,TRUE,""),"")</f>
        <v>113</v>
      </c>
      <c r="L214" s="52">
        <f>IF(H214*K214&lt;&gt;0,H214*K214,0)</f>
        <v>3676.7939999999994</v>
      </c>
    </row>
    <row r="215" spans="1:12" ht="14.1" customHeight="1" x14ac:dyDescent="0.3">
      <c r="A215" s="53"/>
      <c r="B215" s="54"/>
      <c r="C215" s="55"/>
      <c r="D215" s="56"/>
      <c r="E215" s="56"/>
      <c r="F215" s="57"/>
      <c r="G215" s="56"/>
      <c r="H215" s="57"/>
      <c r="I215" s="58"/>
      <c r="J215" s="59"/>
      <c r="K215" s="60"/>
      <c r="L215" s="61"/>
    </row>
    <row r="216" spans="1:12" ht="39.6" x14ac:dyDescent="0.3">
      <c r="A216" s="13">
        <f>IFERROR(LOOKUP(2,1/(ISNUMBER($A$4:$A$215)),$A$4:$A$215),0)+1</f>
        <v>25</v>
      </c>
      <c r="B216" s="62" t="s">
        <v>100</v>
      </c>
      <c r="C216" s="15" t="s">
        <v>101</v>
      </c>
      <c r="D216" s="16"/>
      <c r="E216" s="17"/>
      <c r="F216" s="18"/>
      <c r="G216" s="17"/>
      <c r="H216" s="18"/>
      <c r="I216" s="19"/>
      <c r="J216" s="20"/>
      <c r="K216" s="21"/>
      <c r="L216" s="22"/>
    </row>
    <row r="217" spans="1:12" s="64" customFormat="1" x14ac:dyDescent="0.3">
      <c r="A217" s="23"/>
      <c r="B217" s="24"/>
      <c r="C217" s="25"/>
      <c r="D217" s="26">
        <v>6</v>
      </c>
      <c r="E217" s="26">
        <v>3</v>
      </c>
      <c r="F217" s="27" t="s">
        <v>99</v>
      </c>
      <c r="G217" s="26">
        <v>9</v>
      </c>
      <c r="H217" s="28">
        <f>D217*IF(OR(E217=0,E217="-"),1,E217)*IF(OR(F217=0,F217="-"),1,F217)*IF(OR(G217=0,G217="-"),1,G217)</f>
        <v>162</v>
      </c>
      <c r="I217" s="29" t="s">
        <v>15</v>
      </c>
      <c r="J217" s="30"/>
      <c r="K217" s="31"/>
      <c r="L217" s="32"/>
    </row>
    <row r="218" spans="1:12" s="64" customFormat="1" x14ac:dyDescent="0.3">
      <c r="A218" s="23"/>
      <c r="B218" s="24"/>
      <c r="C218" s="25"/>
      <c r="D218" s="26">
        <v>4</v>
      </c>
      <c r="E218" s="26">
        <v>4</v>
      </c>
      <c r="F218" s="27" t="s">
        <v>99</v>
      </c>
      <c r="G218" s="26">
        <v>9</v>
      </c>
      <c r="H218" s="28">
        <f>D218*IF(OR(E218=0,E218="-"),1,E218)*IF(OR(F218=0,F218="-"),1,F218)*IF(OR(G218=0,G218="-"),1,G218)</f>
        <v>144</v>
      </c>
      <c r="I218" s="29" t="s">
        <v>15</v>
      </c>
      <c r="J218" s="30"/>
      <c r="K218" s="31"/>
      <c r="L218" s="32"/>
    </row>
    <row r="219" spans="1:12" s="64" customFormat="1" x14ac:dyDescent="0.3">
      <c r="A219" s="23"/>
      <c r="B219" s="24"/>
      <c r="C219" s="25"/>
      <c r="D219" s="26">
        <v>1</v>
      </c>
      <c r="E219" s="26">
        <v>11.25</v>
      </c>
      <c r="F219" s="27"/>
      <c r="G219" s="26">
        <v>6.5</v>
      </c>
      <c r="H219" s="28">
        <f>D219*IF(OR(E219=0,E219="-"),1,E219)*IF(OR(F219=0,F219="-"),1,F219)*IF(OR(G219=0,G219="-"),1,G219)</f>
        <v>73.125</v>
      </c>
      <c r="I219" s="29" t="s">
        <v>15</v>
      </c>
      <c r="J219" s="30"/>
      <c r="K219" s="31"/>
      <c r="L219" s="32"/>
    </row>
    <row r="220" spans="1:12" s="64" customFormat="1" x14ac:dyDescent="0.3">
      <c r="A220" s="23"/>
      <c r="B220" s="24"/>
      <c r="C220" s="25"/>
      <c r="D220" s="26">
        <v>1</v>
      </c>
      <c r="E220" s="27">
        <v>3</v>
      </c>
      <c r="F220" s="27"/>
      <c r="G220" s="26">
        <v>6.5</v>
      </c>
      <c r="H220" s="28">
        <f>D220*IF(OR(E220=0,E220="-"),1,E220)*IF(OR(F220=0,F220="-"),1,F220)*IF(OR(G220=0,G220="-"),1,G220)</f>
        <v>19.5</v>
      </c>
      <c r="I220" s="29" t="s">
        <v>15</v>
      </c>
      <c r="J220" s="30"/>
      <c r="K220" s="31"/>
      <c r="L220" s="32"/>
    </row>
    <row r="221" spans="1:12" s="64" customFormat="1" x14ac:dyDescent="0.3">
      <c r="A221" s="33"/>
      <c r="B221" s="34"/>
      <c r="C221" s="35"/>
      <c r="D221" s="36"/>
      <c r="E221" s="36"/>
      <c r="F221" s="119" t="s">
        <v>16</v>
      </c>
      <c r="G221" s="119"/>
      <c r="H221" s="38">
        <f>SUM(H217:H220)</f>
        <v>398.625</v>
      </c>
      <c r="I221" s="39" t="s">
        <v>15</v>
      </c>
      <c r="J221" s="40"/>
      <c r="K221" s="41" t="str">
        <f>""</f>
        <v/>
      </c>
      <c r="L221" s="42"/>
    </row>
    <row r="222" spans="1:12" ht="46.8" x14ac:dyDescent="0.3">
      <c r="A222" s="43"/>
      <c r="B222" s="44"/>
      <c r="C222" s="45"/>
      <c r="D222" s="46"/>
      <c r="E222" s="47" t="s">
        <v>17</v>
      </c>
      <c r="F222" s="47"/>
      <c r="G222" s="47"/>
      <c r="H222" s="48">
        <f>ROUND(H221*0.0929,3)</f>
        <v>37.031999999999996</v>
      </c>
      <c r="I222" s="49" t="s">
        <v>18</v>
      </c>
      <c r="J222" s="50" t="s">
        <v>34</v>
      </c>
      <c r="K222" s="51">
        <f>IF(B216="11.6.1",_xlfn.IFS(J222="Labour rates Amnd",88,J222="Material rates Amnd",50,J222="Through rates Amnd",138,J222="Labour Rate",52,J222="Material Rate",50,J222="Through Rate",102,TRUE,""),"")</f>
        <v>138</v>
      </c>
      <c r="L222" s="52">
        <f>IF(H222*K222&lt;&gt;0,H222*K222,0)</f>
        <v>5110.4159999999993</v>
      </c>
    </row>
    <row r="223" spans="1:12" s="64" customFormat="1" ht="14.1" customHeight="1" x14ac:dyDescent="0.3">
      <c r="A223" s="53"/>
      <c r="B223" s="54"/>
      <c r="C223" s="55"/>
      <c r="D223" s="56"/>
      <c r="E223" s="56"/>
      <c r="F223" s="57"/>
      <c r="G223" s="56"/>
      <c r="H223" s="57"/>
      <c r="I223" s="58"/>
      <c r="J223" s="59"/>
      <c r="K223" s="60"/>
      <c r="L223" s="61"/>
    </row>
    <row r="224" spans="1:12" s="139" customFormat="1" ht="41.4" x14ac:dyDescent="0.3">
      <c r="A224" s="13">
        <f>IFERROR(LOOKUP(2,1/(ISNUMBER($A$4:$A$223)),$A$4:$A$223),0)+1</f>
        <v>26</v>
      </c>
      <c r="B224" s="14" t="s">
        <v>102</v>
      </c>
      <c r="C224" s="15" t="s">
        <v>103</v>
      </c>
      <c r="D224" s="16"/>
      <c r="E224" s="17"/>
      <c r="F224" s="18"/>
      <c r="G224" s="17"/>
      <c r="H224" s="18"/>
      <c r="I224" s="19"/>
      <c r="J224" s="20"/>
      <c r="K224" s="21"/>
      <c r="L224" s="22"/>
    </row>
    <row r="225" spans="1:12" s="139" customFormat="1" x14ac:dyDescent="0.3">
      <c r="A225" s="23"/>
      <c r="B225" s="24"/>
      <c r="C225" s="25"/>
      <c r="D225" s="26">
        <v>3</v>
      </c>
      <c r="E225" s="26">
        <v>4</v>
      </c>
      <c r="F225" s="27">
        <v>3</v>
      </c>
      <c r="G225" s="26"/>
      <c r="H225" s="28">
        <f>D225*IF(OR(E225=0,E225="-"),1,E225)*IF(OR(F225=0,F225="-"),1,F225)*IF(OR(G225=0,G225="-"),1,G225)</f>
        <v>36</v>
      </c>
      <c r="I225" s="29" t="s">
        <v>15</v>
      </c>
      <c r="J225" s="30"/>
      <c r="K225" s="31"/>
      <c r="L225" s="32"/>
    </row>
    <row r="226" spans="1:12" s="139" customFormat="1" x14ac:dyDescent="0.3">
      <c r="A226" s="23"/>
      <c r="B226" s="24"/>
      <c r="C226" s="25"/>
      <c r="D226" s="26">
        <v>1</v>
      </c>
      <c r="E226" s="26">
        <v>11.25</v>
      </c>
      <c r="F226" s="27">
        <v>3</v>
      </c>
      <c r="G226" s="26"/>
      <c r="H226" s="28">
        <f>D226*IF(OR(E226=0,E226="-"),1,E226)*IF(OR(F226=0,F226="-"),1,F226)*IF(OR(G226=0,G226="-"),1,G226)</f>
        <v>33.75</v>
      </c>
      <c r="I226" s="29" t="s">
        <v>15</v>
      </c>
      <c r="J226" s="30"/>
      <c r="K226" s="31"/>
      <c r="L226" s="32"/>
    </row>
    <row r="227" spans="1:12" s="139" customFormat="1" x14ac:dyDescent="0.3">
      <c r="A227" s="33"/>
      <c r="B227" s="34"/>
      <c r="C227" s="35"/>
      <c r="D227" s="36"/>
      <c r="E227" s="36"/>
      <c r="F227" s="37" t="s">
        <v>16</v>
      </c>
      <c r="G227" s="37"/>
      <c r="H227" s="38">
        <f>SUM(H225:H226)</f>
        <v>69.75</v>
      </c>
      <c r="I227" s="39" t="s">
        <v>15</v>
      </c>
      <c r="J227" s="40"/>
      <c r="K227" s="41" t="str">
        <f>""</f>
        <v/>
      </c>
      <c r="L227" s="42"/>
    </row>
    <row r="228" spans="1:12" s="139" customFormat="1" ht="31.2" x14ac:dyDescent="0.3">
      <c r="A228" s="43"/>
      <c r="B228" s="44"/>
      <c r="C228" s="45"/>
      <c r="D228" s="46"/>
      <c r="E228" s="47" t="s">
        <v>17</v>
      </c>
      <c r="F228" s="47"/>
      <c r="G228" s="47"/>
      <c r="H228" s="48">
        <f>ROUND(H227*0.0929,3)</f>
        <v>6.48</v>
      </c>
      <c r="I228" s="49" t="s">
        <v>18</v>
      </c>
      <c r="J228" s="50" t="s">
        <v>19</v>
      </c>
      <c r="K228" s="51">
        <f>IF(B224="10.8",_xlfn.IFS(J228="Labour Rate",70,J228="Material Rate",112,J228="Through Rate",181,TRUE,""),"")</f>
        <v>181</v>
      </c>
      <c r="L228" s="52">
        <f>IF(H228*K228&lt;&gt;0,H228*K228,0)</f>
        <v>1172.8800000000001</v>
      </c>
    </row>
    <row r="229" spans="1:12" ht="14.1" customHeight="1" x14ac:dyDescent="0.3">
      <c r="A229" s="53"/>
      <c r="B229" s="54"/>
      <c r="C229" s="55"/>
      <c r="D229" s="56"/>
      <c r="E229" s="56"/>
      <c r="F229" s="57"/>
      <c r="G229" s="56"/>
      <c r="H229" s="57"/>
      <c r="I229" s="58"/>
      <c r="J229" s="59"/>
      <c r="K229" s="60"/>
      <c r="L229" s="61"/>
    </row>
    <row r="230" spans="1:12" ht="110.4" x14ac:dyDescent="0.3">
      <c r="A230" s="13">
        <f>IFERROR(LOOKUP(2,1/(ISNUMBER($A$4:$A$229)),$A$4:$A$229),0)+1</f>
        <v>27</v>
      </c>
      <c r="B230" s="14" t="s">
        <v>104</v>
      </c>
      <c r="C230" s="15" t="s">
        <v>105</v>
      </c>
      <c r="D230" s="16"/>
      <c r="E230" s="17"/>
      <c r="F230" s="18"/>
      <c r="G230" s="17"/>
      <c r="H230" s="18"/>
      <c r="I230" s="19"/>
      <c r="J230" s="20"/>
      <c r="K230" s="21"/>
      <c r="L230" s="22"/>
    </row>
    <row r="231" spans="1:12" x14ac:dyDescent="0.3">
      <c r="A231" s="23"/>
      <c r="B231" s="24"/>
      <c r="C231" s="25"/>
      <c r="D231" s="26">
        <v>6</v>
      </c>
      <c r="E231" s="26">
        <v>4</v>
      </c>
      <c r="F231" s="27">
        <v>9</v>
      </c>
      <c r="G231" s="26"/>
      <c r="H231" s="28">
        <f>D231*IF(OR(E231=0,E231="-"),1,E231)*IF(OR(F231=0,F231="-"),1,F231)*IF(OR(G231=0,G231="-"),1,G231)</f>
        <v>216</v>
      </c>
      <c r="I231" s="29" t="s">
        <v>15</v>
      </c>
      <c r="J231" s="30"/>
      <c r="K231" s="31"/>
      <c r="L231" s="32"/>
    </row>
    <row r="232" spans="1:12" x14ac:dyDescent="0.3">
      <c r="A232" s="23"/>
      <c r="B232" s="24"/>
      <c r="C232" s="25"/>
      <c r="D232" s="26">
        <v>6</v>
      </c>
      <c r="E232" s="26">
        <v>3</v>
      </c>
      <c r="F232" s="27">
        <v>9</v>
      </c>
      <c r="G232" s="26"/>
      <c r="H232" s="28">
        <f>D232*IF(OR(E232=0,E232="-"),1,E232)*IF(OR(F232=0,F232="-"),1,F232)*IF(OR(G232=0,G232="-"),1,G232)</f>
        <v>162</v>
      </c>
      <c r="I232" s="29" t="s">
        <v>15</v>
      </c>
      <c r="J232" s="30"/>
      <c r="K232" s="31"/>
      <c r="L232" s="32"/>
    </row>
    <row r="233" spans="1:12" x14ac:dyDescent="0.3">
      <c r="A233" s="23"/>
      <c r="B233" s="24"/>
      <c r="C233" s="25"/>
      <c r="D233" s="26">
        <v>1</v>
      </c>
      <c r="E233" s="26">
        <v>11.25</v>
      </c>
      <c r="F233" s="27">
        <v>9</v>
      </c>
      <c r="G233" s="26"/>
      <c r="H233" s="28">
        <f>D233*IF(OR(E233=0,E233="-"),1,E233)*IF(OR(F233=0,F233="-"),1,F233)*IF(OR(G233=0,G233="-"),1,G233)</f>
        <v>101.25</v>
      </c>
      <c r="I233" s="29" t="s">
        <v>15</v>
      </c>
      <c r="J233" s="30"/>
      <c r="K233" s="31"/>
      <c r="L233" s="32"/>
    </row>
    <row r="234" spans="1:12" x14ac:dyDescent="0.3">
      <c r="A234" s="23"/>
      <c r="B234" s="24"/>
      <c r="C234" s="25" t="s">
        <v>106</v>
      </c>
      <c r="D234" s="26">
        <v>-3</v>
      </c>
      <c r="E234" s="26">
        <v>2.5</v>
      </c>
      <c r="F234" s="27">
        <v>7</v>
      </c>
      <c r="G234" s="26"/>
      <c r="H234" s="28">
        <f>D234*IF(OR(E234=0,E234="-"),1,E234)*IF(OR(F234=0,F234="-"),1,F234)*IF(OR(G234=0,G234="-"),1,G234)</f>
        <v>-52.5</v>
      </c>
      <c r="I234" s="29" t="s">
        <v>15</v>
      </c>
      <c r="J234" s="30"/>
      <c r="K234" s="31"/>
      <c r="L234" s="32"/>
    </row>
    <row r="235" spans="1:12" x14ac:dyDescent="0.3">
      <c r="A235" s="33"/>
      <c r="B235" s="34"/>
      <c r="C235" s="35"/>
      <c r="D235" s="36"/>
      <c r="E235" s="36"/>
      <c r="F235" s="119" t="s">
        <v>16</v>
      </c>
      <c r="G235" s="119"/>
      <c r="H235" s="38">
        <f>SUM(H231:H234)</f>
        <v>426.75</v>
      </c>
      <c r="I235" s="39" t="s">
        <v>15</v>
      </c>
      <c r="J235" s="40"/>
      <c r="K235" s="41" t="str">
        <f>""</f>
        <v/>
      </c>
      <c r="L235" s="42"/>
    </row>
    <row r="236" spans="1:12" ht="31.2" x14ac:dyDescent="0.3">
      <c r="A236" s="43"/>
      <c r="B236" s="44"/>
      <c r="C236" s="45"/>
      <c r="D236" s="46"/>
      <c r="E236" s="47" t="s">
        <v>17</v>
      </c>
      <c r="F236" s="47"/>
      <c r="G236" s="47"/>
      <c r="H236" s="48">
        <f>ROUND(H235*0.0929,3)</f>
        <v>39.645000000000003</v>
      </c>
      <c r="I236" s="49" t="s">
        <v>18</v>
      </c>
      <c r="J236" s="50" t="s">
        <v>19</v>
      </c>
      <c r="K236" s="51">
        <f>IF(B230="10.62",_xlfn.IFS(J236="Labour Rate",210,J236="Material Rate",360,J236="Through Rate",570,TRUE,""),"")</f>
        <v>570</v>
      </c>
      <c r="L236" s="52">
        <f>IF(H236*K236&lt;&gt;0,H236*K236,0)</f>
        <v>22597.65</v>
      </c>
    </row>
    <row r="237" spans="1:12" ht="14.1" customHeight="1" x14ac:dyDescent="0.3">
      <c r="A237" s="53"/>
      <c r="B237" s="54"/>
      <c r="C237" s="55"/>
      <c r="D237" s="56"/>
      <c r="E237" s="56"/>
      <c r="F237" s="57"/>
      <c r="G237" s="56"/>
      <c r="H237" s="57"/>
      <c r="I237" s="58"/>
      <c r="J237" s="59"/>
      <c r="K237" s="60"/>
      <c r="L237" s="61"/>
    </row>
    <row r="238" spans="1:12" ht="108.6" x14ac:dyDescent="0.3">
      <c r="A238" s="13">
        <f>IFERROR(LOOKUP(2,1/(ISNUMBER($A$4:$A$237)),$A$4:$A$237),0)+1</f>
        <v>28</v>
      </c>
      <c r="B238" s="14" t="s">
        <v>107</v>
      </c>
      <c r="C238" s="15" t="s">
        <v>108</v>
      </c>
      <c r="D238" s="140"/>
      <c r="E238" s="141"/>
      <c r="F238" s="142"/>
      <c r="G238" s="141"/>
      <c r="H238" s="143"/>
      <c r="I238" s="144"/>
      <c r="J238" s="145"/>
      <c r="K238" s="146"/>
      <c r="L238" s="147"/>
    </row>
    <row r="239" spans="1:12" x14ac:dyDescent="0.3">
      <c r="A239" s="23"/>
      <c r="B239" s="148"/>
      <c r="C239" s="149"/>
      <c r="D239" s="150">
        <v>3</v>
      </c>
      <c r="E239" s="150">
        <v>3</v>
      </c>
      <c r="F239" s="151">
        <v>4</v>
      </c>
      <c r="G239" s="150"/>
      <c r="H239" s="152">
        <f>D239*IF(OR(E239=0,E239="-"),1,E239)*IF(OR(F239=0,F239="-"),1,F239)*IF(OR(G239=0,G239="-"),1,G239)</f>
        <v>36</v>
      </c>
      <c r="I239" s="153" t="s">
        <v>15</v>
      </c>
      <c r="J239" s="154"/>
      <c r="K239" s="155"/>
      <c r="L239" s="156"/>
    </row>
    <row r="240" spans="1:12" x14ac:dyDescent="0.3">
      <c r="A240" s="23"/>
      <c r="B240" s="148"/>
      <c r="C240" s="149"/>
      <c r="D240" s="150">
        <v>1</v>
      </c>
      <c r="E240" s="150">
        <v>11.25</v>
      </c>
      <c r="F240" s="151">
        <v>3</v>
      </c>
      <c r="G240" s="150"/>
      <c r="H240" s="152">
        <f>D240*IF(OR(E240=0,E240="-"),1,E240)*IF(OR(F240=0,F240="-"),1,F240)*IF(OR(G240=0,G240="-"),1,G240)</f>
        <v>33.75</v>
      </c>
      <c r="I240" s="153" t="s">
        <v>15</v>
      </c>
      <c r="J240" s="154"/>
      <c r="K240" s="155"/>
      <c r="L240" s="156"/>
    </row>
    <row r="241" spans="1:12" x14ac:dyDescent="0.3">
      <c r="A241" s="33"/>
      <c r="B241" s="157"/>
      <c r="C241" s="158"/>
      <c r="D241" s="159"/>
      <c r="E241" s="159"/>
      <c r="F241" s="160" t="s">
        <v>16</v>
      </c>
      <c r="G241" s="160"/>
      <c r="H241" s="161">
        <f>SUM(H239:H240)</f>
        <v>69.75</v>
      </c>
      <c r="I241" s="162" t="s">
        <v>15</v>
      </c>
      <c r="J241" s="163"/>
      <c r="K241" s="164" t="str">
        <f>""</f>
        <v/>
      </c>
      <c r="L241" s="165"/>
    </row>
    <row r="242" spans="1:12" ht="27.6" x14ac:dyDescent="0.3">
      <c r="A242" s="43"/>
      <c r="B242" s="166"/>
      <c r="C242" s="167"/>
      <c r="D242" s="168"/>
      <c r="E242" s="169" t="s">
        <v>17</v>
      </c>
      <c r="F242" s="169"/>
      <c r="G242" s="169"/>
      <c r="H242" s="170">
        <f>ROUND(H241*0.0929,3)</f>
        <v>6.48</v>
      </c>
      <c r="I242" s="171" t="s">
        <v>18</v>
      </c>
      <c r="J242" s="172" t="s">
        <v>19</v>
      </c>
      <c r="K242" s="173">
        <f>IF(B238="10.63.2",_xlfn.IFS(J242="Labour Rate",175,J242="Material Rate",811,J242="Through Rate",987,TRUE,""),"")</f>
        <v>987</v>
      </c>
      <c r="L242" s="174">
        <f>IF(H242*K242&lt;&gt;0,H242*K242,0)</f>
        <v>6395.76</v>
      </c>
    </row>
    <row r="243" spans="1:12" ht="14.1" customHeight="1" x14ac:dyDescent="0.3">
      <c r="A243" s="53"/>
      <c r="B243" s="54"/>
      <c r="C243" s="55"/>
      <c r="D243" s="56"/>
      <c r="E243" s="56"/>
      <c r="F243" s="57"/>
      <c r="G243" s="56"/>
      <c r="H243" s="57"/>
      <c r="I243" s="58"/>
      <c r="J243" s="59"/>
      <c r="K243" s="60"/>
      <c r="L243" s="61"/>
    </row>
    <row r="244" spans="1:12" ht="69" x14ac:dyDescent="0.3">
      <c r="A244" s="13">
        <f>IFERROR(LOOKUP(2,1/(ISNUMBER($A$4:$A$243)),$A$4:$A$243),0)+1</f>
        <v>29</v>
      </c>
      <c r="B244" s="14" t="s">
        <v>109</v>
      </c>
      <c r="C244" s="15" t="s">
        <v>110</v>
      </c>
      <c r="D244" s="16"/>
      <c r="E244" s="17"/>
      <c r="F244" s="18"/>
      <c r="G244" s="17"/>
      <c r="H244" s="18"/>
      <c r="I244" s="19"/>
      <c r="J244" s="20"/>
      <c r="K244" s="21"/>
      <c r="L244" s="22"/>
    </row>
    <row r="245" spans="1:12" x14ac:dyDescent="0.3">
      <c r="A245" s="23"/>
      <c r="B245" s="175"/>
      <c r="C245" s="176" t="s">
        <v>111</v>
      </c>
      <c r="D245" s="177">
        <v>1</v>
      </c>
      <c r="E245" s="178">
        <f>H213</f>
        <v>350.25</v>
      </c>
      <c r="F245" s="179">
        <v>1</v>
      </c>
      <c r="G245" s="179"/>
      <c r="H245" s="28">
        <f>D245*IF(OR(E245=0,E245="-"),1,E245)*IF(OR(F245=0,F245="-"),1,F245)*IF(OR(G245=0,G245="-"),1,G245)</f>
        <v>350.25</v>
      </c>
      <c r="I245" s="29" t="s">
        <v>15</v>
      </c>
      <c r="J245" s="30"/>
      <c r="K245" s="31"/>
      <c r="L245" s="32"/>
    </row>
    <row r="246" spans="1:12" x14ac:dyDescent="0.3">
      <c r="A246" s="33"/>
      <c r="B246" s="34"/>
      <c r="C246" s="180"/>
      <c r="D246" s="36"/>
      <c r="E246" s="36"/>
      <c r="F246" s="37" t="s">
        <v>16</v>
      </c>
      <c r="G246" s="37"/>
      <c r="H246" s="181">
        <f>SUM(H245:H245)</f>
        <v>350.25</v>
      </c>
      <c r="I246" s="39" t="s">
        <v>15</v>
      </c>
      <c r="J246" s="40"/>
      <c r="K246" s="182" t="str">
        <f>""</f>
        <v/>
      </c>
      <c r="L246" s="183"/>
    </row>
    <row r="247" spans="1:12" ht="31.2" x14ac:dyDescent="0.3">
      <c r="A247" s="43"/>
      <c r="B247" s="44"/>
      <c r="C247" s="184"/>
      <c r="D247" s="46"/>
      <c r="E247" s="47" t="s">
        <v>17</v>
      </c>
      <c r="F247" s="47"/>
      <c r="G247" s="47"/>
      <c r="H247" s="185">
        <f>ROUND(H246*0.0929,3)</f>
        <v>32.537999999999997</v>
      </c>
      <c r="I247" s="49" t="s">
        <v>18</v>
      </c>
      <c r="J247" s="50" t="s">
        <v>19</v>
      </c>
      <c r="K247" s="186">
        <f>IF(B244="11.58",_xlfn.IFS(J247="Labour Rate",23,J247="Material Rate",9,J247="Through Rate",32,TRUE,""),"")</f>
        <v>32</v>
      </c>
      <c r="L247" s="187">
        <f>IF(H247*K247&lt;&gt;0,H247*K247,0)</f>
        <v>1041.2159999999999</v>
      </c>
    </row>
    <row r="248" spans="1:12" ht="14.1" customHeight="1" x14ac:dyDescent="0.3">
      <c r="A248" s="53"/>
      <c r="B248" s="54"/>
      <c r="C248" s="188"/>
      <c r="D248" s="56"/>
      <c r="E248" s="56"/>
      <c r="F248" s="57"/>
      <c r="G248" s="56"/>
      <c r="H248" s="189"/>
      <c r="I248" s="190"/>
      <c r="J248" s="59"/>
      <c r="K248" s="191"/>
      <c r="L248" s="192"/>
    </row>
    <row r="249" spans="1:12" ht="53.4" x14ac:dyDescent="0.3">
      <c r="A249" s="13">
        <f>IFERROR(LOOKUP(2,1/(ISNUMBER($A$4:$A$248)),$A$4:$A$248),0)+1</f>
        <v>30</v>
      </c>
      <c r="B249" s="14" t="s">
        <v>112</v>
      </c>
      <c r="C249" s="15" t="s">
        <v>113</v>
      </c>
      <c r="D249" s="16"/>
      <c r="E249" s="17"/>
      <c r="F249" s="18"/>
      <c r="G249" s="17"/>
      <c r="H249" s="18"/>
      <c r="I249" s="19"/>
      <c r="J249" s="20"/>
      <c r="K249" s="21"/>
      <c r="L249" s="22"/>
    </row>
    <row r="250" spans="1:12" x14ac:dyDescent="0.3">
      <c r="A250" s="130"/>
      <c r="B250" s="131"/>
      <c r="C250" s="132"/>
      <c r="D250" s="17"/>
      <c r="E250" s="17"/>
      <c r="F250" s="18"/>
      <c r="G250" s="17"/>
      <c r="H250" s="133"/>
      <c r="I250" s="19"/>
      <c r="J250" s="134"/>
      <c r="K250" s="135"/>
      <c r="L250" s="22"/>
    </row>
    <row r="251" spans="1:12" x14ac:dyDescent="0.3">
      <c r="A251" s="23"/>
      <c r="B251" s="24"/>
      <c r="C251" s="25"/>
      <c r="D251" s="26">
        <v>1</v>
      </c>
      <c r="E251" s="26">
        <v>11.25</v>
      </c>
      <c r="F251" s="27" t="s">
        <v>99</v>
      </c>
      <c r="G251" s="26">
        <v>13</v>
      </c>
      <c r="H251" s="28">
        <f>D251*IF(OR(E251=0,E251="-"),1,E251)*IF(OR(F251=0,F251="-"),1,F251)*IF(OR(G251=0,G251="-"),1,G251)</f>
        <v>146.25</v>
      </c>
      <c r="I251" s="29" t="s">
        <v>15</v>
      </c>
      <c r="J251" s="30"/>
      <c r="K251" s="31"/>
      <c r="L251" s="32"/>
    </row>
    <row r="252" spans="1:12" x14ac:dyDescent="0.3">
      <c r="A252" s="23"/>
      <c r="B252" s="24"/>
      <c r="C252" s="25"/>
      <c r="D252" s="26">
        <v>2</v>
      </c>
      <c r="E252" s="26">
        <v>5.5</v>
      </c>
      <c r="F252" s="27" t="s">
        <v>99</v>
      </c>
      <c r="G252" s="26">
        <v>13</v>
      </c>
      <c r="H252" s="28">
        <f>D252*IF(OR(E252=0,E252="-"),1,E252)*IF(OR(F252=0,F252="-"),1,F252)*IF(OR(G252=0,G252="-"),1,G252)</f>
        <v>143</v>
      </c>
      <c r="I252" s="29" t="s">
        <v>15</v>
      </c>
      <c r="J252" s="30"/>
      <c r="K252" s="31"/>
      <c r="L252" s="32"/>
    </row>
    <row r="253" spans="1:12" x14ac:dyDescent="0.3">
      <c r="A253" s="23"/>
      <c r="B253" s="24"/>
      <c r="C253" s="25"/>
      <c r="D253" s="26">
        <v>1</v>
      </c>
      <c r="E253" s="26">
        <v>11.25</v>
      </c>
      <c r="F253" s="27"/>
      <c r="G253" s="26">
        <v>8</v>
      </c>
      <c r="H253" s="28">
        <f>D253*IF(OR(E253=0,E253="-"),1,E253)*IF(OR(F253=0,F253="-"),1,F253)*IF(OR(G253=0,G253="-"),1,G253)</f>
        <v>90</v>
      </c>
      <c r="I253" s="29" t="s">
        <v>15</v>
      </c>
      <c r="J253" s="30"/>
      <c r="K253" s="31"/>
      <c r="L253" s="32"/>
    </row>
    <row r="254" spans="1:12" x14ac:dyDescent="0.3">
      <c r="A254" s="23"/>
      <c r="B254" s="24"/>
      <c r="C254" s="25"/>
      <c r="D254" s="26">
        <v>1</v>
      </c>
      <c r="E254" s="26">
        <v>3.75</v>
      </c>
      <c r="F254" s="27"/>
      <c r="G254" s="26">
        <v>8</v>
      </c>
      <c r="H254" s="28">
        <f>D254*IF(OR(E254=0,E254="-"),1,E254)*IF(OR(F254=0,F254="-"),1,F254)*IF(OR(G254=0,G254="-"),1,G254)</f>
        <v>30</v>
      </c>
      <c r="I254" s="29" t="s">
        <v>15</v>
      </c>
      <c r="J254" s="30"/>
      <c r="K254" s="31"/>
      <c r="L254" s="32"/>
    </row>
    <row r="255" spans="1:12" x14ac:dyDescent="0.3">
      <c r="A255" s="23"/>
      <c r="B255" s="24"/>
      <c r="C255" s="25"/>
      <c r="D255" s="26">
        <v>1</v>
      </c>
      <c r="E255" s="26">
        <v>3</v>
      </c>
      <c r="F255" s="27"/>
      <c r="G255" s="26">
        <v>6</v>
      </c>
      <c r="H255" s="28">
        <f>D255*IF(OR(E255=0,E255="-"),1,E255)*IF(OR(F255=0,F255="-"),1,F255)*IF(OR(G255=0,G255="-"),1,G255)</f>
        <v>18</v>
      </c>
      <c r="I255" s="29" t="s">
        <v>15</v>
      </c>
      <c r="J255" s="30"/>
      <c r="K255" s="31"/>
      <c r="L255" s="32"/>
    </row>
    <row r="256" spans="1:12" x14ac:dyDescent="0.3">
      <c r="A256" s="33"/>
      <c r="B256" s="34"/>
      <c r="C256" s="35"/>
      <c r="D256" s="36"/>
      <c r="E256" s="36"/>
      <c r="F256" s="37" t="s">
        <v>16</v>
      </c>
      <c r="G256" s="37"/>
      <c r="H256" s="38">
        <f>SUM(H251:H255)</f>
        <v>427.25</v>
      </c>
      <c r="I256" s="39" t="s">
        <v>15</v>
      </c>
      <c r="J256" s="40"/>
      <c r="K256" s="41" t="str">
        <f>""</f>
        <v/>
      </c>
      <c r="L256" s="42"/>
    </row>
    <row r="257" spans="1:12" ht="31.2" x14ac:dyDescent="0.3">
      <c r="A257" s="43"/>
      <c r="B257" s="44"/>
      <c r="C257" s="184"/>
      <c r="D257" s="46"/>
      <c r="E257" s="47" t="s">
        <v>17</v>
      </c>
      <c r="F257" s="47"/>
      <c r="G257" s="47"/>
      <c r="H257" s="48">
        <f>ROUND(H256*0.0929,3)</f>
        <v>39.692</v>
      </c>
      <c r="I257" s="49" t="s">
        <v>18</v>
      </c>
      <c r="J257" s="50" t="s">
        <v>19</v>
      </c>
      <c r="K257" s="51">
        <f>IF(B249="11.93.1",_xlfn.IFS(J257="Labour Rate",25,J257="Material Rate",14,J257="Through Rate",39,TRUE,""),"")</f>
        <v>39</v>
      </c>
      <c r="L257" s="52">
        <f>IF(H257*K257&lt;&gt;0,H257*K257,0)</f>
        <v>1547.9880000000001</v>
      </c>
    </row>
    <row r="258" spans="1:12" ht="14.1" customHeight="1" x14ac:dyDescent="0.3">
      <c r="A258" s="53"/>
      <c r="B258" s="54"/>
      <c r="C258" s="55"/>
      <c r="D258" s="56"/>
      <c r="E258" s="56"/>
      <c r="F258" s="57"/>
      <c r="G258" s="56"/>
      <c r="H258" s="57"/>
      <c r="I258" s="58"/>
      <c r="J258" s="59"/>
      <c r="K258" s="60"/>
      <c r="L258" s="61"/>
    </row>
    <row r="259" spans="1:12" ht="67.2" x14ac:dyDescent="0.3">
      <c r="A259" s="13">
        <f>IFERROR(LOOKUP(2,1/(ISNUMBER($A$4:$A$258)),$A$4:$A$258),0)+1</f>
        <v>31</v>
      </c>
      <c r="B259" s="14" t="s">
        <v>114</v>
      </c>
      <c r="C259" s="15" t="s">
        <v>115</v>
      </c>
      <c r="D259" s="16"/>
      <c r="E259" s="17"/>
      <c r="F259" s="18"/>
      <c r="G259" s="17"/>
      <c r="H259" s="18"/>
      <c r="I259" s="19"/>
      <c r="J259" s="20"/>
      <c r="K259" s="21"/>
      <c r="L259" s="22"/>
    </row>
    <row r="260" spans="1:12" x14ac:dyDescent="0.3">
      <c r="A260" s="23"/>
      <c r="B260" s="24"/>
      <c r="C260" s="118"/>
      <c r="D260" s="26">
        <v>2</v>
      </c>
      <c r="E260" s="26">
        <v>11.25</v>
      </c>
      <c r="F260" s="27"/>
      <c r="G260" s="26"/>
      <c r="H260" s="28">
        <f>D260*IF(OR(E260=0,E260="-"),1,E260)*IF(OR(F260=0,F260="-"),1,F260)*IF(OR(G260=0,G260="-"),1,G260)</f>
        <v>22.5</v>
      </c>
      <c r="I260" s="29" t="s">
        <v>39</v>
      </c>
      <c r="J260" s="30"/>
      <c r="K260" s="31"/>
      <c r="L260" s="32"/>
    </row>
    <row r="261" spans="1:12" x14ac:dyDescent="0.3">
      <c r="A261" s="23"/>
      <c r="B261" s="24"/>
      <c r="C261" s="118"/>
      <c r="D261" s="26">
        <v>2</v>
      </c>
      <c r="E261" s="27">
        <v>7</v>
      </c>
      <c r="F261" s="27"/>
      <c r="G261" s="26"/>
      <c r="H261" s="28">
        <f>D261*IF(OR(E261=0,E261="-"),1,E261)*IF(OR(F261=0,F261="-"),1,F261)*IF(OR(G261=0,G261="-"),1,G261)</f>
        <v>14</v>
      </c>
      <c r="I261" s="29" t="s">
        <v>39</v>
      </c>
      <c r="J261" s="30"/>
      <c r="K261" s="31"/>
      <c r="L261" s="32"/>
    </row>
    <row r="262" spans="1:12" x14ac:dyDescent="0.3">
      <c r="A262" s="33"/>
      <c r="B262" s="34"/>
      <c r="C262" s="180"/>
      <c r="D262" s="36"/>
      <c r="E262" s="36"/>
      <c r="F262" s="37" t="s">
        <v>41</v>
      </c>
      <c r="G262" s="37"/>
      <c r="H262" s="38">
        <f>SUM(H260:H261)</f>
        <v>36.5</v>
      </c>
      <c r="I262" s="39" t="s">
        <v>39</v>
      </c>
      <c r="J262" s="40"/>
      <c r="K262" s="41" t="str">
        <f>""</f>
        <v/>
      </c>
      <c r="L262" s="42"/>
    </row>
    <row r="263" spans="1:12" ht="31.2" x14ac:dyDescent="0.3">
      <c r="A263" s="43"/>
      <c r="B263" s="193"/>
      <c r="C263" s="184"/>
      <c r="D263" s="50"/>
      <c r="E263" s="194" t="s">
        <v>42</v>
      </c>
      <c r="F263" s="194"/>
      <c r="G263" s="194"/>
      <c r="H263" s="185">
        <f>ROUND(H262*0.3048,3)</f>
        <v>11.125</v>
      </c>
      <c r="I263" s="49" t="s">
        <v>70</v>
      </c>
      <c r="J263" s="50" t="s">
        <v>19</v>
      </c>
      <c r="K263" s="186">
        <f>IF(B259="9.17.1",_xlfn.IFS(J263="Labour Rate",76,J263="Material Rate",36,J263="Through Rate",112,TRUE,""),"")</f>
        <v>112</v>
      </c>
      <c r="L263" s="187">
        <f>IF(H263*K263&lt;&gt;0,H263*K263,0)</f>
        <v>1246</v>
      </c>
    </row>
    <row r="264" spans="1:12" ht="14.1" customHeight="1" x14ac:dyDescent="0.3">
      <c r="A264" s="53"/>
      <c r="B264" s="54"/>
      <c r="C264" s="55"/>
      <c r="D264" s="56"/>
      <c r="E264" s="56"/>
      <c r="F264" s="57"/>
      <c r="G264" s="56"/>
      <c r="H264" s="57"/>
      <c r="I264" s="58"/>
      <c r="J264" s="59"/>
      <c r="K264" s="60"/>
      <c r="L264" s="61"/>
    </row>
    <row r="265" spans="1:12" ht="82.8" x14ac:dyDescent="0.3">
      <c r="A265" s="13">
        <f>IFERROR(LOOKUP(2,1/(ISNUMBER($A$4:$A$264)),$A$4:$A$264),0)+1</f>
        <v>32</v>
      </c>
      <c r="B265" s="14" t="s">
        <v>116</v>
      </c>
      <c r="C265" s="15" t="s">
        <v>117</v>
      </c>
      <c r="D265" s="16"/>
      <c r="E265" s="17"/>
      <c r="F265" s="18"/>
      <c r="G265" s="17"/>
      <c r="H265" s="18"/>
      <c r="I265" s="19"/>
      <c r="J265" s="20"/>
      <c r="K265" s="21"/>
      <c r="L265" s="22"/>
    </row>
    <row r="266" spans="1:12" x14ac:dyDescent="0.3">
      <c r="A266" s="23"/>
      <c r="B266" s="24"/>
      <c r="C266" s="25"/>
      <c r="D266" s="26">
        <v>1</v>
      </c>
      <c r="E266" s="26">
        <v>1</v>
      </c>
      <c r="F266" s="27"/>
      <c r="G266" s="26"/>
      <c r="H266" s="28">
        <f>D266*IF(OR(E266=0,E266="-"),1,E266)*IF(OR(F266=0,F266="-"),1,F266)*IF(OR(G266=0,G266="-"),1,G266)</f>
        <v>1</v>
      </c>
      <c r="I266" s="29" t="s">
        <v>4</v>
      </c>
      <c r="J266" s="30"/>
      <c r="K266" s="31"/>
      <c r="L266" s="32"/>
    </row>
    <row r="267" spans="1:12" x14ac:dyDescent="0.3">
      <c r="A267" s="33"/>
      <c r="B267" s="34"/>
      <c r="C267" s="35"/>
      <c r="D267" s="36"/>
      <c r="E267" s="36"/>
      <c r="F267" s="37" t="s">
        <v>118</v>
      </c>
      <c r="G267" s="37"/>
      <c r="H267" s="38">
        <f>SUM(H266:H266)</f>
        <v>1</v>
      </c>
      <c r="I267" s="39" t="s">
        <v>4</v>
      </c>
      <c r="J267" s="40"/>
      <c r="K267" s="41" t="str">
        <f>""</f>
        <v/>
      </c>
      <c r="L267" s="42"/>
    </row>
    <row r="268" spans="1:12" ht="31.2" x14ac:dyDescent="0.3">
      <c r="A268" s="43"/>
      <c r="B268" s="44"/>
      <c r="C268" s="45"/>
      <c r="D268" s="46"/>
      <c r="E268" s="47" t="s">
        <v>119</v>
      </c>
      <c r="F268" s="47"/>
      <c r="G268" s="47"/>
      <c r="H268" s="48">
        <f>ROUND(H267*1,3)</f>
        <v>1</v>
      </c>
      <c r="I268" s="49" t="s">
        <v>120</v>
      </c>
      <c r="J268" s="50" t="s">
        <v>19</v>
      </c>
      <c r="K268" s="51">
        <f>IF(B265="9.18",_xlfn.IFS(J268="Labour Rate",69,J268="Material Rate",79,J268="Through Rate",147,TRUE,""),"")</f>
        <v>147</v>
      </c>
      <c r="L268" s="52">
        <f>IF(H268*K268&lt;&gt;0,H268*K268,0)</f>
        <v>147</v>
      </c>
    </row>
    <row r="269" spans="1:12" ht="14.1" customHeight="1" x14ac:dyDescent="0.3">
      <c r="A269" s="53"/>
      <c r="B269" s="54"/>
      <c r="C269" s="55"/>
      <c r="D269" s="56"/>
      <c r="E269" s="56"/>
      <c r="F269" s="57"/>
      <c r="G269" s="56"/>
      <c r="H269" s="57"/>
      <c r="I269" s="58"/>
      <c r="J269" s="59"/>
      <c r="K269" s="60"/>
      <c r="L269" s="61"/>
    </row>
    <row r="270" spans="1:12" ht="81" x14ac:dyDescent="0.3">
      <c r="A270" s="13">
        <f>IFERROR(LOOKUP(2,1/(ISNUMBER($A$4:$A$269)),$A$4:$A$269),0)+1</f>
        <v>33</v>
      </c>
      <c r="B270" s="14" t="s">
        <v>121</v>
      </c>
      <c r="C270" s="15" t="s">
        <v>122</v>
      </c>
      <c r="D270" s="16"/>
      <c r="E270" s="17"/>
      <c r="F270" s="18"/>
      <c r="G270" s="17"/>
      <c r="H270" s="18"/>
      <c r="I270" s="19"/>
      <c r="J270" s="20"/>
      <c r="K270" s="21"/>
      <c r="L270" s="22"/>
    </row>
    <row r="271" spans="1:12" x14ac:dyDescent="0.3">
      <c r="A271" s="23"/>
      <c r="B271" s="195"/>
      <c r="C271" s="196"/>
      <c r="D271" s="26">
        <v>1</v>
      </c>
      <c r="E271" s="26">
        <v>15</v>
      </c>
      <c r="F271" s="27"/>
      <c r="G271" s="26"/>
      <c r="H271" s="28">
        <f>D271*IF(OR(E271=0,E271="-"),1,E271)*IF(OR(F271=0,F271="-"),1,F271)*IF(OR(G271=0,G271="-"),1,G271)</f>
        <v>15</v>
      </c>
      <c r="I271" s="29" t="s">
        <v>123</v>
      </c>
      <c r="J271" s="30"/>
      <c r="K271" s="31"/>
      <c r="L271" s="32"/>
    </row>
    <row r="272" spans="1:12" x14ac:dyDescent="0.3">
      <c r="A272" s="33"/>
      <c r="B272" s="197"/>
      <c r="C272" s="180"/>
      <c r="D272" s="36"/>
      <c r="E272" s="36"/>
      <c r="F272" s="37" t="s">
        <v>124</v>
      </c>
      <c r="G272" s="37"/>
      <c r="H272" s="38">
        <f>SUM(H271:H271)</f>
        <v>15</v>
      </c>
      <c r="I272" s="39" t="s">
        <v>123</v>
      </c>
      <c r="J272" s="40"/>
      <c r="K272" s="198" t="str">
        <f>""</f>
        <v/>
      </c>
      <c r="L272" s="42"/>
    </row>
    <row r="273" spans="1:12" ht="31.2" x14ac:dyDescent="0.3">
      <c r="A273" s="43"/>
      <c r="B273" s="199"/>
      <c r="C273" s="184"/>
      <c r="D273" s="46"/>
      <c r="E273" s="47" t="s">
        <v>124</v>
      </c>
      <c r="F273" s="47"/>
      <c r="G273" s="47"/>
      <c r="H273" s="48">
        <f>ROUND(H272*1,3)</f>
        <v>15</v>
      </c>
      <c r="I273" s="49" t="s">
        <v>70</v>
      </c>
      <c r="J273" s="50" t="s">
        <v>19</v>
      </c>
      <c r="K273" s="51">
        <f>IF(B270="9.57.2",_xlfn.IFS(J273="Labour Rate",44,J273="Material Rate",156,J273="Through Rate",200,TRUE,""),"")</f>
        <v>200</v>
      </c>
      <c r="L273" s="52">
        <f>IF(H273*K273&lt;&gt;0,H273*K273,0)</f>
        <v>3000</v>
      </c>
    </row>
    <row r="274" spans="1:12" ht="14.1" customHeight="1" x14ac:dyDescent="0.3">
      <c r="A274" s="53"/>
      <c r="B274" s="200"/>
      <c r="C274" s="188"/>
      <c r="D274" s="56"/>
      <c r="E274" s="56"/>
      <c r="F274" s="57"/>
      <c r="G274" s="56"/>
      <c r="H274" s="57"/>
      <c r="I274" s="58"/>
      <c r="J274" s="59"/>
      <c r="K274" s="60"/>
      <c r="L274" s="61"/>
    </row>
    <row r="275" spans="1:12" ht="79.8" x14ac:dyDescent="0.3">
      <c r="A275" s="13">
        <f>IFERROR(LOOKUP(2,1/(ISNUMBER($A$4:$A$274)),$A$4:$A$274),0)+1</f>
        <v>34</v>
      </c>
      <c r="B275" s="14" t="s">
        <v>125</v>
      </c>
      <c r="C275" s="15" t="s">
        <v>126</v>
      </c>
      <c r="D275" s="16"/>
      <c r="E275" s="17"/>
      <c r="F275" s="18"/>
      <c r="G275" s="17"/>
      <c r="H275" s="18"/>
      <c r="I275" s="19"/>
      <c r="J275" s="20"/>
      <c r="K275" s="21"/>
      <c r="L275" s="22"/>
    </row>
    <row r="276" spans="1:12" x14ac:dyDescent="0.3">
      <c r="A276" s="23"/>
      <c r="B276" s="24"/>
      <c r="C276" s="25"/>
      <c r="D276" s="26">
        <v>1</v>
      </c>
      <c r="E276" s="26">
        <v>1</v>
      </c>
      <c r="F276" s="27"/>
      <c r="G276" s="26"/>
      <c r="H276" s="28">
        <f>D276*IF(OR(E276=0,E276="-"),1,E276)*IF(OR(F276=0,F276="-"),1,F276)*IF(OR(G276=0,G276="-"),1,G276)</f>
        <v>1</v>
      </c>
      <c r="I276" s="29" t="s">
        <v>4</v>
      </c>
      <c r="J276" s="30"/>
      <c r="K276" s="201"/>
      <c r="L276" s="32"/>
    </row>
    <row r="277" spans="1:12" x14ac:dyDescent="0.3">
      <c r="A277" s="33"/>
      <c r="B277" s="34"/>
      <c r="C277" s="35"/>
      <c r="D277" s="36"/>
      <c r="E277" s="36"/>
      <c r="F277" s="37" t="s">
        <v>118</v>
      </c>
      <c r="G277" s="37"/>
      <c r="H277" s="202">
        <f>SUM(H276:H276)</f>
        <v>1</v>
      </c>
      <c r="I277" s="39" t="s">
        <v>4</v>
      </c>
      <c r="J277" s="40"/>
      <c r="K277" s="41" t="str">
        <f>""</f>
        <v/>
      </c>
      <c r="L277" s="42"/>
    </row>
    <row r="278" spans="1:12" ht="31.2" x14ac:dyDescent="0.3">
      <c r="A278" s="43"/>
      <c r="B278" s="44"/>
      <c r="C278" s="45"/>
      <c r="D278" s="46"/>
      <c r="E278" s="47" t="s">
        <v>119</v>
      </c>
      <c r="F278" s="47"/>
      <c r="G278" s="47"/>
      <c r="H278" s="203">
        <f>ROUND(H277*1,3)</f>
        <v>1</v>
      </c>
      <c r="I278" s="49" t="s">
        <v>120</v>
      </c>
      <c r="J278" s="50" t="s">
        <v>19</v>
      </c>
      <c r="K278" s="51">
        <f>IF(B275="9.58.5.2",_xlfn.IFS(J278="Labour Rate",8,J278="Material Rate",85,J278="Through Rate",93,TRUE,""),"")</f>
        <v>93</v>
      </c>
      <c r="L278" s="52">
        <f>IF(H278*K278&lt;&gt;0,H278*K278,0)</f>
        <v>93</v>
      </c>
    </row>
    <row r="279" spans="1:12" ht="14.1" customHeight="1" x14ac:dyDescent="0.3">
      <c r="A279" s="53"/>
      <c r="B279" s="54"/>
      <c r="C279" s="55"/>
      <c r="D279" s="56"/>
      <c r="E279" s="56"/>
      <c r="F279" s="57"/>
      <c r="G279" s="56"/>
      <c r="H279" s="204"/>
      <c r="I279" s="58"/>
      <c r="J279" s="59"/>
      <c r="K279" s="60"/>
      <c r="L279" s="61"/>
    </row>
    <row r="280" spans="1:12" ht="94.8" x14ac:dyDescent="0.3">
      <c r="A280" s="13">
        <f>IFERROR(LOOKUP(2,1/(ISNUMBER($A$4:$A$279)),$A$4:$A$279),0)+1</f>
        <v>35</v>
      </c>
      <c r="B280" s="14" t="s">
        <v>127</v>
      </c>
      <c r="C280" s="15" t="s">
        <v>128</v>
      </c>
      <c r="D280" s="16"/>
      <c r="E280" s="17"/>
      <c r="F280" s="18"/>
      <c r="G280" s="17"/>
      <c r="H280" s="205"/>
      <c r="I280" s="19"/>
      <c r="J280" s="20"/>
      <c r="K280" s="21"/>
      <c r="L280" s="22"/>
    </row>
    <row r="281" spans="1:12" x14ac:dyDescent="0.3">
      <c r="A281" s="23"/>
      <c r="B281" s="24"/>
      <c r="C281" s="25"/>
      <c r="D281" s="26">
        <v>1</v>
      </c>
      <c r="E281" s="26">
        <v>1</v>
      </c>
      <c r="F281" s="27"/>
      <c r="G281" s="26"/>
      <c r="H281" s="28">
        <f>D281*IF(OR(E281=0,E281="-"),1,E281)*IF(OR(F281=0,F281="-"),1,F281)*IF(OR(G281=0,G281="-"),1,G281)</f>
        <v>1</v>
      </c>
      <c r="I281" s="29" t="s">
        <v>4</v>
      </c>
      <c r="J281" s="30"/>
      <c r="K281" s="201"/>
      <c r="L281" s="32"/>
    </row>
    <row r="282" spans="1:12" x14ac:dyDescent="0.3">
      <c r="A282" s="33"/>
      <c r="B282" s="34"/>
      <c r="C282" s="35"/>
      <c r="D282" s="36"/>
      <c r="E282" s="36"/>
      <c r="F282" s="37" t="s">
        <v>118</v>
      </c>
      <c r="G282" s="37"/>
      <c r="H282" s="38">
        <f>SUM(H281:H281)</f>
        <v>1</v>
      </c>
      <c r="I282" s="39" t="s">
        <v>4</v>
      </c>
      <c r="J282" s="40"/>
      <c r="K282" s="41" t="str">
        <f>""</f>
        <v/>
      </c>
      <c r="L282" s="42"/>
    </row>
    <row r="283" spans="1:12" ht="31.2" x14ac:dyDescent="0.3">
      <c r="A283" s="43"/>
      <c r="B283" s="44"/>
      <c r="C283" s="45"/>
      <c r="D283" s="46"/>
      <c r="E283" s="47" t="s">
        <v>119</v>
      </c>
      <c r="F283" s="47"/>
      <c r="G283" s="47"/>
      <c r="H283" s="48">
        <f>ROUND(H282*1,3)</f>
        <v>1</v>
      </c>
      <c r="I283" s="49" t="s">
        <v>120</v>
      </c>
      <c r="J283" s="50" t="s">
        <v>19</v>
      </c>
      <c r="K283" s="51">
        <f>IF(B280="9.59.2",_xlfn.IFS(J283="Labour Rate",104,J283="Material Rate",43,J283="Through Rate",147,TRUE,""),"")</f>
        <v>147</v>
      </c>
      <c r="L283" s="52">
        <f>IF(H283*K283&lt;&gt;0,H283*K283,0)</f>
        <v>147</v>
      </c>
    </row>
    <row r="284" spans="1:12" ht="14.1" customHeight="1" x14ac:dyDescent="0.3">
      <c r="A284" s="53"/>
      <c r="B284" s="54"/>
      <c r="C284" s="55"/>
      <c r="D284" s="56"/>
      <c r="E284" s="56"/>
      <c r="F284" s="57"/>
      <c r="G284" s="56"/>
      <c r="H284" s="57"/>
      <c r="I284" s="58"/>
      <c r="J284" s="59"/>
      <c r="K284" s="60"/>
      <c r="L284" s="61"/>
    </row>
    <row r="285" spans="1:12" ht="106.8" x14ac:dyDescent="0.3">
      <c r="A285" s="13">
        <f>IFERROR(LOOKUP(2,1/(ISNUMBER($A$4:$A$284)),$A$4:$A$284),0)+1</f>
        <v>36</v>
      </c>
      <c r="B285" s="14" t="s">
        <v>129</v>
      </c>
      <c r="C285" s="15" t="s">
        <v>130</v>
      </c>
      <c r="D285" s="16"/>
      <c r="E285" s="17"/>
      <c r="F285" s="18"/>
      <c r="G285" s="17"/>
      <c r="H285" s="18"/>
      <c r="I285" s="19"/>
      <c r="J285" s="20"/>
      <c r="K285" s="21"/>
      <c r="L285" s="22"/>
    </row>
    <row r="286" spans="1:12" x14ac:dyDescent="0.3">
      <c r="A286" s="23"/>
      <c r="B286" s="24"/>
      <c r="C286" s="25" t="s">
        <v>62</v>
      </c>
      <c r="D286" s="26">
        <v>3</v>
      </c>
      <c r="E286" s="26">
        <v>2.5</v>
      </c>
      <c r="F286" s="27" t="s">
        <v>99</v>
      </c>
      <c r="G286" s="26">
        <v>7</v>
      </c>
      <c r="H286" s="28">
        <f>D286*IF(OR(E286=0,E286="-"),1,E286)*IF(OR(F286=0,F286="-"),1,F286)*IF(OR(G286=0,G286="-"),1,G286)</f>
        <v>52.5</v>
      </c>
      <c r="I286" s="29" t="s">
        <v>15</v>
      </c>
      <c r="J286" s="30"/>
      <c r="K286" s="31"/>
      <c r="L286" s="32"/>
    </row>
    <row r="287" spans="1:12" x14ac:dyDescent="0.3">
      <c r="A287" s="33"/>
      <c r="B287" s="34"/>
      <c r="C287" s="35"/>
      <c r="D287" s="36"/>
      <c r="E287" s="36"/>
      <c r="F287" s="37" t="s">
        <v>16</v>
      </c>
      <c r="G287" s="37"/>
      <c r="H287" s="38">
        <f>SUM(H286:H286)</f>
        <v>52.5</v>
      </c>
      <c r="I287" s="39" t="s">
        <v>15</v>
      </c>
      <c r="J287" s="40"/>
      <c r="K287" s="41" t="str">
        <f>""</f>
        <v/>
      </c>
      <c r="L287" s="42"/>
    </row>
    <row r="288" spans="1:12" ht="31.2" x14ac:dyDescent="0.3">
      <c r="A288" s="43"/>
      <c r="B288" s="44"/>
      <c r="C288" s="45"/>
      <c r="D288" s="46"/>
      <c r="E288" s="47" t="s">
        <v>17</v>
      </c>
      <c r="F288" s="47"/>
      <c r="G288" s="47"/>
      <c r="H288" s="48">
        <f>ROUND(H287*0.0929,3)</f>
        <v>4.8769999999999998</v>
      </c>
      <c r="I288" s="49" t="s">
        <v>18</v>
      </c>
      <c r="J288" s="50" t="s">
        <v>19</v>
      </c>
      <c r="K288" s="51">
        <f>IF(B285="12.36.1",_xlfn.IFS(J288="Labour Rate",159,J288="Material Rate",2226,J288="Through Rate",2385,TRUE,""),"")</f>
        <v>2385</v>
      </c>
      <c r="L288" s="52">
        <f>IF(H288*K288&lt;&gt;0,H288*K288,0)</f>
        <v>11631.644999999999</v>
      </c>
    </row>
    <row r="289" spans="1:12" ht="14.1" customHeight="1" x14ac:dyDescent="0.3">
      <c r="A289" s="53"/>
      <c r="B289" s="54"/>
      <c r="C289" s="55"/>
      <c r="D289" s="56"/>
      <c r="E289" s="56"/>
      <c r="F289" s="57"/>
      <c r="G289" s="56"/>
      <c r="H289" s="57"/>
      <c r="I289" s="58"/>
      <c r="J289" s="59"/>
      <c r="K289" s="60"/>
      <c r="L289" s="61"/>
    </row>
    <row r="290" spans="1:12" ht="81" x14ac:dyDescent="0.3">
      <c r="A290" s="13">
        <f>IFERROR(LOOKUP(2,1/(ISNUMBER($A$4:$A$289)),$A$4:$A$289),0)+1</f>
        <v>37</v>
      </c>
      <c r="B290" s="14" t="s">
        <v>131</v>
      </c>
      <c r="C290" s="15" t="s">
        <v>132</v>
      </c>
      <c r="D290" s="16"/>
      <c r="E290" s="17"/>
      <c r="F290" s="18"/>
      <c r="G290" s="17"/>
      <c r="H290" s="18"/>
      <c r="I290" s="19"/>
      <c r="J290" s="20"/>
      <c r="K290" s="21"/>
      <c r="L290" s="22"/>
    </row>
    <row r="291" spans="1:12" x14ac:dyDescent="0.3">
      <c r="A291" s="23"/>
      <c r="B291" s="24"/>
      <c r="C291" s="179"/>
      <c r="D291" s="26">
        <v>3</v>
      </c>
      <c r="E291" s="26">
        <v>1</v>
      </c>
      <c r="F291" s="27"/>
      <c r="G291" s="26"/>
      <c r="H291" s="28">
        <f>D291*IF(OR(E291=0,E291="-"),1,E291)*IF(OR(F291=0,F291="-"),1,F291)*IF(OR(G291=0,G291="-"),1,G291)</f>
        <v>3</v>
      </c>
      <c r="I291" s="29" t="s">
        <v>133</v>
      </c>
      <c r="J291" s="30"/>
      <c r="K291" s="31"/>
      <c r="L291" s="32"/>
    </row>
    <row r="292" spans="1:12" x14ac:dyDescent="0.3">
      <c r="A292" s="33"/>
      <c r="B292" s="34"/>
      <c r="C292" s="206"/>
      <c r="D292" s="36"/>
      <c r="E292" s="36"/>
      <c r="F292" s="37" t="s">
        <v>119</v>
      </c>
      <c r="G292" s="37"/>
      <c r="H292" s="38">
        <f>SUM(H291:H291)</f>
        <v>3</v>
      </c>
      <c r="I292" s="39" t="s">
        <v>133</v>
      </c>
      <c r="J292" s="40"/>
      <c r="K292" s="41" t="str">
        <f>""</f>
        <v/>
      </c>
      <c r="L292" s="42"/>
    </row>
    <row r="293" spans="1:12" ht="31.2" x14ac:dyDescent="0.3">
      <c r="A293" s="43"/>
      <c r="B293" s="44"/>
      <c r="C293" s="207"/>
      <c r="D293" s="46"/>
      <c r="E293" s="47" t="s">
        <v>119</v>
      </c>
      <c r="F293" s="47"/>
      <c r="G293" s="47"/>
      <c r="H293" s="48">
        <f>ROUND(H292*1,3)</f>
        <v>3</v>
      </c>
      <c r="I293" s="49" t="s">
        <v>120</v>
      </c>
      <c r="J293" s="50" t="s">
        <v>19</v>
      </c>
      <c r="K293" s="51">
        <f>IF(B290="12.98.2",_xlfn.IFS(J293="Labour Rate",21,J293="Material Rate",157,J293="Through Rate",179,TRUE,""),"")</f>
        <v>179</v>
      </c>
      <c r="L293" s="52">
        <f>IF(H293*K293&lt;&gt;0,H293*K293,0)</f>
        <v>537</v>
      </c>
    </row>
    <row r="294" spans="1:12" ht="14.1" customHeight="1" x14ac:dyDescent="0.3">
      <c r="A294" s="53"/>
      <c r="B294" s="54"/>
      <c r="C294" s="208"/>
      <c r="D294" s="56"/>
      <c r="E294" s="56"/>
      <c r="F294" s="57"/>
      <c r="G294" s="56"/>
      <c r="H294" s="57"/>
      <c r="I294" s="58"/>
      <c r="J294" s="59"/>
      <c r="K294" s="60"/>
      <c r="L294" s="61"/>
    </row>
    <row r="295" spans="1:12" ht="81" x14ac:dyDescent="0.3">
      <c r="A295" s="13">
        <f>IFERROR(LOOKUP(2,1/(ISNUMBER($A$4:$A$294)),$A$4:$A$294),0)+1</f>
        <v>38</v>
      </c>
      <c r="B295" s="14" t="s">
        <v>134</v>
      </c>
      <c r="C295" s="209" t="s">
        <v>135</v>
      </c>
      <c r="D295" s="16"/>
      <c r="E295" s="17"/>
      <c r="F295" s="18"/>
      <c r="G295" s="17"/>
      <c r="H295" s="18"/>
      <c r="I295" s="19"/>
      <c r="J295" s="20"/>
      <c r="K295" s="21"/>
      <c r="L295" s="22"/>
    </row>
    <row r="296" spans="1:12" x14ac:dyDescent="0.3">
      <c r="A296" s="23"/>
      <c r="B296" s="24"/>
      <c r="C296" s="179"/>
      <c r="D296" s="26">
        <v>6</v>
      </c>
      <c r="E296" s="26">
        <v>1</v>
      </c>
      <c r="F296" s="27"/>
      <c r="G296" s="26"/>
      <c r="H296" s="28">
        <f>D296*IF(OR(E296=0,E296="-"),1,E296)*IF(OR(F296=0,F296="-"),1,F296)*IF(OR(G296=0,G296="-"),1,G296)</f>
        <v>6</v>
      </c>
      <c r="I296" s="29" t="s">
        <v>133</v>
      </c>
      <c r="J296" s="30"/>
      <c r="K296" s="31"/>
      <c r="L296" s="32"/>
    </row>
    <row r="297" spans="1:12" x14ac:dyDescent="0.3">
      <c r="A297" s="33"/>
      <c r="B297" s="34"/>
      <c r="C297" s="206"/>
      <c r="D297" s="36"/>
      <c r="E297" s="36"/>
      <c r="F297" s="37" t="s">
        <v>119</v>
      </c>
      <c r="G297" s="37"/>
      <c r="H297" s="38">
        <f>SUM(H296:H296)</f>
        <v>6</v>
      </c>
      <c r="I297" s="39" t="s">
        <v>133</v>
      </c>
      <c r="J297" s="40"/>
      <c r="K297" s="41" t="str">
        <f>""</f>
        <v/>
      </c>
      <c r="L297" s="42"/>
    </row>
    <row r="298" spans="1:12" ht="31.2" x14ac:dyDescent="0.3">
      <c r="A298" s="43"/>
      <c r="B298" s="44"/>
      <c r="C298" s="210"/>
      <c r="D298" s="46"/>
      <c r="E298" s="47" t="s">
        <v>119</v>
      </c>
      <c r="F298" s="47"/>
      <c r="G298" s="47"/>
      <c r="H298" s="48">
        <f>ROUND(H297*1,3)</f>
        <v>6</v>
      </c>
      <c r="I298" s="49" t="s">
        <v>120</v>
      </c>
      <c r="J298" s="50" t="s">
        <v>19</v>
      </c>
      <c r="K298" s="51">
        <f>IF(B295="12.99.4",_xlfn.IFS(J298="Labour Rate",4,J298="Material Rate",58,J298="Through Rate",62,TRUE,""),"")</f>
        <v>62</v>
      </c>
      <c r="L298" s="52">
        <f>IF(H298*K298&lt;&gt;0,H298*K298,0)</f>
        <v>372</v>
      </c>
    </row>
    <row r="299" spans="1:12" ht="14.1" customHeight="1" x14ac:dyDescent="0.3">
      <c r="A299" s="53"/>
      <c r="B299" s="54"/>
      <c r="C299" s="211"/>
      <c r="D299" s="56"/>
      <c r="E299" s="56"/>
      <c r="F299" s="57"/>
      <c r="G299" s="56"/>
      <c r="H299" s="57"/>
      <c r="I299" s="58"/>
      <c r="J299" s="59"/>
      <c r="K299" s="60"/>
      <c r="L299" s="61"/>
    </row>
    <row r="300" spans="1:12" ht="69" x14ac:dyDescent="0.3">
      <c r="A300" s="13">
        <f>IFERROR(LOOKUP(2,1/(ISNUMBER($A$4:$A$299)),$A$4:$A$299),0)+1</f>
        <v>39</v>
      </c>
      <c r="B300" s="14" t="s">
        <v>136</v>
      </c>
      <c r="C300" s="209" t="s">
        <v>137</v>
      </c>
      <c r="D300" s="16"/>
      <c r="E300" s="17"/>
      <c r="F300" s="18"/>
      <c r="G300" s="17"/>
      <c r="H300" s="18"/>
      <c r="I300" s="19"/>
      <c r="J300" s="20"/>
      <c r="K300" s="21"/>
      <c r="L300" s="22"/>
    </row>
    <row r="301" spans="1:12" x14ac:dyDescent="0.3">
      <c r="A301" s="23"/>
      <c r="B301" s="24"/>
      <c r="C301" s="25" t="s">
        <v>62</v>
      </c>
      <c r="D301" s="26">
        <v>3</v>
      </c>
      <c r="E301" s="26">
        <v>2.5</v>
      </c>
      <c r="F301" s="27"/>
      <c r="G301" s="26">
        <v>7</v>
      </c>
      <c r="H301" s="28">
        <f>D301*IF(OR(E301=0,E301="-"),1,E301)*IF(OR(F301=0,F301="-"),1,F301)*IF(OR(G301=0,G301="-"),1,G301)</f>
        <v>52.5</v>
      </c>
      <c r="I301" s="29" t="s">
        <v>15</v>
      </c>
      <c r="J301" s="30"/>
      <c r="K301" s="31"/>
      <c r="L301" s="32"/>
    </row>
    <row r="302" spans="1:12" x14ac:dyDescent="0.3">
      <c r="A302" s="33"/>
      <c r="B302" s="34"/>
      <c r="C302" s="206"/>
      <c r="D302" s="36"/>
      <c r="E302" s="36"/>
      <c r="F302" s="37" t="s">
        <v>16</v>
      </c>
      <c r="G302" s="37"/>
      <c r="H302" s="38">
        <f>SUM(H301:H301)</f>
        <v>52.5</v>
      </c>
      <c r="I302" s="39" t="s">
        <v>15</v>
      </c>
      <c r="J302" s="40"/>
      <c r="K302" s="41" t="str">
        <f>""</f>
        <v/>
      </c>
      <c r="L302" s="42"/>
    </row>
    <row r="303" spans="1:12" ht="31.2" x14ac:dyDescent="0.3">
      <c r="A303" s="43"/>
      <c r="B303" s="44"/>
      <c r="C303" s="207"/>
      <c r="D303" s="46"/>
      <c r="E303" s="47" t="s">
        <v>17</v>
      </c>
      <c r="F303" s="47"/>
      <c r="G303" s="47"/>
      <c r="H303" s="48">
        <f>ROUND(H302*0.0929,3)</f>
        <v>4.8769999999999998</v>
      </c>
      <c r="I303" s="49" t="s">
        <v>18</v>
      </c>
      <c r="J303" s="50" t="s">
        <v>19</v>
      </c>
      <c r="K303" s="51">
        <f>IF(B300="11.76",_xlfn.IFS(J303="Labour Rate",15,J303="Material Rate",21,J303="Through Rate",37,TRUE,""),"")</f>
        <v>37</v>
      </c>
      <c r="L303" s="52">
        <f>IF(H303*K303&lt;&gt;0,H303*K303,0)</f>
        <v>180.44899999999998</v>
      </c>
    </row>
    <row r="304" spans="1:12" ht="14.1" customHeight="1" x14ac:dyDescent="0.3">
      <c r="A304" s="53"/>
      <c r="B304" s="54"/>
      <c r="C304" s="208"/>
      <c r="D304" s="56"/>
      <c r="E304" s="56"/>
      <c r="F304" s="57"/>
      <c r="G304" s="56"/>
      <c r="H304" s="57"/>
      <c r="I304" s="58"/>
      <c r="J304" s="59"/>
      <c r="K304" s="60"/>
      <c r="L304" s="61"/>
    </row>
    <row r="305" spans="1:12" x14ac:dyDescent="0.3">
      <c r="A305" s="23"/>
      <c r="B305" s="24"/>
      <c r="C305" s="212" t="s">
        <v>138</v>
      </c>
      <c r="D305" s="26">
        <v>2</v>
      </c>
      <c r="E305" s="26">
        <v>1.6</v>
      </c>
      <c r="F305" s="27"/>
      <c r="G305" s="213">
        <f>H302</f>
        <v>52.5</v>
      </c>
      <c r="H305" s="28">
        <f>D305*IF(OR(E305=0,E305="-"),1,E305)*IF(OR(F305=0,F305="-"),1,F305)*IF(OR(G305=0,G305="-"),1,G305)</f>
        <v>168</v>
      </c>
      <c r="I305" s="29" t="s">
        <v>15</v>
      </c>
      <c r="J305" s="30"/>
      <c r="K305" s="31"/>
      <c r="L305" s="32"/>
    </row>
    <row r="306" spans="1:12" x14ac:dyDescent="0.3">
      <c r="A306" s="33"/>
      <c r="B306" s="34"/>
      <c r="C306" s="206"/>
      <c r="D306" s="36"/>
      <c r="E306" s="36"/>
      <c r="F306" s="37" t="s">
        <v>16</v>
      </c>
      <c r="G306" s="37"/>
      <c r="H306" s="38">
        <f>SUM(H305:H305)</f>
        <v>168</v>
      </c>
      <c r="I306" s="39" t="s">
        <v>15</v>
      </c>
      <c r="J306" s="40"/>
      <c r="K306" s="41" t="str">
        <f>""</f>
        <v/>
      </c>
      <c r="L306" s="42"/>
    </row>
    <row r="307" spans="1:12" ht="31.2" x14ac:dyDescent="0.3">
      <c r="A307" s="43"/>
      <c r="B307" s="44"/>
      <c r="C307" s="210"/>
      <c r="D307" s="46"/>
      <c r="E307" s="47" t="s">
        <v>17</v>
      </c>
      <c r="F307" s="47"/>
      <c r="G307" s="47"/>
      <c r="H307" s="48">
        <f>ROUND(H306*0.0929,3)</f>
        <v>15.606999999999999</v>
      </c>
      <c r="I307" s="49" t="s">
        <v>18</v>
      </c>
      <c r="J307" s="50" t="s">
        <v>19</v>
      </c>
      <c r="K307" s="51">
        <f>IF(B300="11.76",_xlfn.IFS(J307="Labour Rate",15,J307="Material Rate",21,J307="Through Rate",37,TRUE,""),"")</f>
        <v>37</v>
      </c>
      <c r="L307" s="52">
        <f>IF(H307*K307&lt;&gt;0,H307*K307,0)</f>
        <v>577.45899999999995</v>
      </c>
    </row>
    <row r="308" spans="1:12" ht="14.1" customHeight="1" x14ac:dyDescent="0.3">
      <c r="A308" s="53"/>
      <c r="B308" s="54"/>
      <c r="C308" s="211"/>
      <c r="D308" s="56"/>
      <c r="E308" s="56"/>
      <c r="F308" s="57"/>
      <c r="G308" s="56"/>
      <c r="H308" s="57"/>
      <c r="I308" s="58"/>
      <c r="J308" s="59"/>
      <c r="K308" s="60"/>
      <c r="L308" s="61"/>
    </row>
    <row r="309" spans="1:12" ht="41.4" x14ac:dyDescent="0.3">
      <c r="A309" s="13">
        <f>IFERROR(LOOKUP(2,1/(ISNUMBER($A$4:$A$308)),$A$4:$A$308),0)+1</f>
        <v>40</v>
      </c>
      <c r="B309" s="14" t="s">
        <v>139</v>
      </c>
      <c r="C309" s="209" t="s">
        <v>140</v>
      </c>
      <c r="D309" s="16"/>
      <c r="E309" s="17"/>
      <c r="F309" s="18"/>
      <c r="G309" s="17"/>
      <c r="H309" s="18"/>
      <c r="I309" s="19"/>
      <c r="J309" s="20"/>
      <c r="K309" s="21"/>
      <c r="L309" s="22"/>
    </row>
    <row r="310" spans="1:12" x14ac:dyDescent="0.3">
      <c r="A310" s="23"/>
      <c r="B310" s="24"/>
      <c r="C310" s="212" t="s">
        <v>141</v>
      </c>
      <c r="D310" s="26">
        <v>1</v>
      </c>
      <c r="E310" s="27">
        <f>H306</f>
        <v>168</v>
      </c>
      <c r="F310" s="27">
        <v>1</v>
      </c>
      <c r="G310" s="26"/>
      <c r="H310" s="28">
        <f>D310*IF(OR(E310=0,E310="-"),1,E310)*IF(OR(F310=0,F310="-"),1,F310)*IF(OR(G310=0,G310="-"),1,G310)</f>
        <v>168</v>
      </c>
      <c r="I310" s="29" t="s">
        <v>15</v>
      </c>
      <c r="J310" s="30"/>
      <c r="K310" s="31"/>
      <c r="L310" s="32"/>
    </row>
    <row r="311" spans="1:12" x14ac:dyDescent="0.3">
      <c r="A311" s="33"/>
      <c r="B311" s="34"/>
      <c r="C311" s="214"/>
      <c r="D311" s="36"/>
      <c r="E311" s="36"/>
      <c r="F311" s="37" t="s">
        <v>16</v>
      </c>
      <c r="G311" s="37"/>
      <c r="H311" s="38">
        <f>SUM(H310:H310)</f>
        <v>168</v>
      </c>
      <c r="I311" s="39" t="s">
        <v>15</v>
      </c>
      <c r="J311" s="40"/>
      <c r="K311" s="41" t="str">
        <f>""</f>
        <v/>
      </c>
      <c r="L311" s="42"/>
    </row>
    <row r="312" spans="1:12" ht="31.2" x14ac:dyDescent="0.3">
      <c r="A312" s="43"/>
      <c r="B312" s="44"/>
      <c r="C312" s="210"/>
      <c r="D312" s="46"/>
      <c r="E312" s="47" t="s">
        <v>17</v>
      </c>
      <c r="F312" s="47"/>
      <c r="G312" s="47"/>
      <c r="H312" s="48">
        <f>ROUND(H311*0.0929,3)</f>
        <v>15.606999999999999</v>
      </c>
      <c r="I312" s="49" t="s">
        <v>18</v>
      </c>
      <c r="J312" s="50" t="s">
        <v>19</v>
      </c>
      <c r="K312" s="51">
        <f>IF(B309="11.77",_xlfn.IFS(J312="Labour Rate",11,J312="Material Rate",8,J312="Through Rate",19,TRUE,""),"")</f>
        <v>19</v>
      </c>
      <c r="L312" s="52">
        <f>IF(H312*K312&lt;&gt;0,H312*K312,0)</f>
        <v>296.53300000000002</v>
      </c>
    </row>
    <row r="313" spans="1:12" ht="14.1" customHeight="1" x14ac:dyDescent="0.3">
      <c r="A313" s="53"/>
      <c r="B313" s="54"/>
      <c r="C313" s="211"/>
      <c r="D313" s="56"/>
      <c r="E313" s="56"/>
      <c r="F313" s="57"/>
      <c r="G313" s="56"/>
      <c r="H313" s="57"/>
      <c r="I313" s="58"/>
      <c r="J313" s="59"/>
      <c r="K313" s="60"/>
      <c r="L313" s="61"/>
    </row>
    <row r="314" spans="1:12" ht="55.2" x14ac:dyDescent="0.3">
      <c r="A314" s="13">
        <f>IFERROR(LOOKUP(2,1/(ISNUMBER($A$4:$A$313)),$A$4:$A$313),0)+1</f>
        <v>41</v>
      </c>
      <c r="B314" s="14" t="s">
        <v>142</v>
      </c>
      <c r="C314" s="209" t="s">
        <v>143</v>
      </c>
      <c r="D314" s="16"/>
      <c r="E314" s="17"/>
      <c r="F314" s="18"/>
      <c r="G314" s="17"/>
      <c r="H314" s="18"/>
      <c r="I314" s="19"/>
      <c r="J314" s="20"/>
      <c r="K314" s="21"/>
      <c r="L314" s="22"/>
    </row>
    <row r="315" spans="1:12" x14ac:dyDescent="0.3">
      <c r="A315" s="23"/>
      <c r="B315" s="24"/>
      <c r="C315" s="212" t="s">
        <v>144</v>
      </c>
      <c r="D315" s="26">
        <v>1</v>
      </c>
      <c r="E315" s="27">
        <f>E310</f>
        <v>168</v>
      </c>
      <c r="F315" s="27">
        <v>1</v>
      </c>
      <c r="G315" s="26"/>
      <c r="H315" s="28">
        <f>D315*IF(OR(E315=0,E315="-"),1,E315)*IF(OR(F315=0,F315="-"),1,F315)*IF(OR(G315=0,G315="-"),1,G315)</f>
        <v>168</v>
      </c>
      <c r="I315" s="29" t="s">
        <v>15</v>
      </c>
      <c r="J315" s="30"/>
      <c r="K315" s="31"/>
      <c r="L315" s="32"/>
    </row>
    <row r="316" spans="1:12" x14ac:dyDescent="0.3">
      <c r="A316" s="33"/>
      <c r="B316" s="34"/>
      <c r="C316" s="214"/>
      <c r="D316" s="36"/>
      <c r="E316" s="36"/>
      <c r="F316" s="37" t="s">
        <v>16</v>
      </c>
      <c r="G316" s="37"/>
      <c r="H316" s="38">
        <f>SUM(H315:H315)</f>
        <v>168</v>
      </c>
      <c r="I316" s="39" t="s">
        <v>15</v>
      </c>
      <c r="J316" s="40"/>
      <c r="K316" s="41" t="str">
        <f>""</f>
        <v/>
      </c>
      <c r="L316" s="42"/>
    </row>
    <row r="317" spans="1:12" ht="31.2" x14ac:dyDescent="0.3">
      <c r="A317" s="43"/>
      <c r="B317" s="44"/>
      <c r="C317" s="210"/>
      <c r="D317" s="46"/>
      <c r="E317" s="47" t="s">
        <v>17</v>
      </c>
      <c r="F317" s="47"/>
      <c r="G317" s="47"/>
      <c r="H317" s="48">
        <f>ROUND(H316*0.0929,3)</f>
        <v>15.606999999999999</v>
      </c>
      <c r="I317" s="49" t="s">
        <v>18</v>
      </c>
      <c r="J317" s="50" t="s">
        <v>19</v>
      </c>
      <c r="K317" s="51">
        <f>IF(B314="11.78",_xlfn.IFS(J317="Labour Rate",20,J317="Material Rate",12,J317="Through Rate",31,TRUE,""),"")</f>
        <v>31</v>
      </c>
      <c r="L317" s="52">
        <f>IF(H317*K317&lt;&gt;0,H317*K317,0)</f>
        <v>483.81700000000001</v>
      </c>
    </row>
    <row r="318" spans="1:12" ht="14.1" customHeight="1" x14ac:dyDescent="0.3">
      <c r="A318" s="53"/>
      <c r="B318" s="54"/>
      <c r="C318" s="211"/>
      <c r="D318" s="56"/>
      <c r="E318" s="56"/>
      <c r="F318" s="57"/>
      <c r="G318" s="56"/>
      <c r="H318" s="57"/>
      <c r="I318" s="58"/>
      <c r="J318" s="59"/>
      <c r="K318" s="60"/>
      <c r="L318" s="61"/>
    </row>
    <row r="319" spans="1:12" ht="93" x14ac:dyDescent="0.3">
      <c r="A319" s="13">
        <f>IFERROR(LOOKUP(2,1/(ISNUMBER($A$4:$A$318)),$A$4:$A$318),0)+1</f>
        <v>42</v>
      </c>
      <c r="B319" s="14" t="s">
        <v>145</v>
      </c>
      <c r="C319" s="15" t="s">
        <v>146</v>
      </c>
      <c r="D319" s="215"/>
      <c r="E319" s="216"/>
      <c r="F319" s="217"/>
      <c r="G319" s="216"/>
      <c r="H319" s="218"/>
      <c r="I319" s="219"/>
      <c r="J319" s="220"/>
      <c r="K319" s="221"/>
      <c r="L319" s="222"/>
    </row>
    <row r="320" spans="1:12" x14ac:dyDescent="0.3">
      <c r="A320" s="23"/>
      <c r="B320" s="148"/>
      <c r="C320" s="149"/>
      <c r="D320" s="223">
        <v>1</v>
      </c>
      <c r="E320" s="223">
        <v>1</v>
      </c>
      <c r="F320" s="224"/>
      <c r="G320" s="223"/>
      <c r="H320" s="152">
        <f>D320*IF(OR(E320=0,E320="-"),1,E320)*IF(OR(F320=0,F320="-"),1,F320)*IF(OR(G320=0,G320="-"),1,G320)</f>
        <v>1</v>
      </c>
      <c r="I320" s="225" t="s">
        <v>4</v>
      </c>
      <c r="J320" s="226"/>
      <c r="K320" s="227"/>
      <c r="L320" s="228"/>
    </row>
    <row r="321" spans="1:12" x14ac:dyDescent="0.3">
      <c r="A321" s="33"/>
      <c r="B321" s="34"/>
      <c r="C321" s="214"/>
      <c r="D321" s="36"/>
      <c r="E321" s="36"/>
      <c r="F321" s="37" t="s">
        <v>118</v>
      </c>
      <c r="G321" s="37"/>
      <c r="H321" s="38">
        <f>SUM(H320:H320)</f>
        <v>1</v>
      </c>
      <c r="I321" s="39" t="s">
        <v>4</v>
      </c>
      <c r="J321" s="40"/>
      <c r="K321" s="41" t="str">
        <f>""</f>
        <v/>
      </c>
      <c r="L321" s="42"/>
    </row>
    <row r="322" spans="1:12" ht="31.2" x14ac:dyDescent="0.3">
      <c r="A322" s="43"/>
      <c r="B322" s="44"/>
      <c r="C322" s="210"/>
      <c r="D322" s="46"/>
      <c r="E322" s="47" t="s">
        <v>119</v>
      </c>
      <c r="F322" s="47"/>
      <c r="G322" s="47"/>
      <c r="H322" s="48">
        <f>ROUND(H321*1,3)</f>
        <v>1</v>
      </c>
      <c r="I322" s="49" t="s">
        <v>120</v>
      </c>
      <c r="J322" s="50" t="s">
        <v>19</v>
      </c>
      <c r="K322" s="51">
        <f>IF(B319="22.1.3",_xlfn.IFS(J322="Labour Rate",458,J322="Material Rate",1360,J322="Through Rate",1818,TRUE,""),"")</f>
        <v>1818</v>
      </c>
      <c r="L322" s="52">
        <f>IF(H322*K322&lt;&gt;0,H322*K322,0)</f>
        <v>1818</v>
      </c>
    </row>
    <row r="323" spans="1:12" ht="14.1" customHeight="1" x14ac:dyDescent="0.3">
      <c r="A323" s="53"/>
      <c r="B323" s="54"/>
      <c r="C323" s="211"/>
      <c r="D323" s="56"/>
      <c r="E323" s="56"/>
      <c r="F323" s="57"/>
      <c r="G323" s="56"/>
      <c r="H323" s="57"/>
      <c r="I323" s="58"/>
      <c r="J323" s="59"/>
      <c r="K323" s="60"/>
      <c r="L323" s="61"/>
    </row>
    <row r="324" spans="1:12" ht="120.6" x14ac:dyDescent="0.3">
      <c r="A324" s="13">
        <f>IFERROR(LOOKUP(2,1/(ISNUMBER($A$4:$A$323)),$A$4:$A$323),0)+1</f>
        <v>43</v>
      </c>
      <c r="B324" s="14" t="s">
        <v>147</v>
      </c>
      <c r="C324" s="15" t="s">
        <v>148</v>
      </c>
      <c r="D324" s="215"/>
      <c r="E324" s="216"/>
      <c r="F324" s="217"/>
      <c r="G324" s="216"/>
      <c r="H324" s="218"/>
      <c r="I324" s="219"/>
      <c r="J324" s="220"/>
      <c r="K324" s="221"/>
      <c r="L324" s="222"/>
    </row>
    <row r="325" spans="1:12" x14ac:dyDescent="0.3">
      <c r="A325" s="23"/>
      <c r="B325" s="148"/>
      <c r="C325" s="149"/>
      <c r="D325" s="223">
        <v>2</v>
      </c>
      <c r="E325" s="223">
        <v>1</v>
      </c>
      <c r="F325" s="224"/>
      <c r="G325" s="223"/>
      <c r="H325" s="152">
        <f>D325*IF(OR(E325=0,E325="-"),1,E325)*IF(OR(F325=0,F325="-"),1,F325)*IF(OR(G325=0,G325="-"),1,G325)</f>
        <v>2</v>
      </c>
      <c r="I325" s="225" t="s">
        <v>4</v>
      </c>
      <c r="J325" s="226"/>
      <c r="K325" s="227"/>
      <c r="L325" s="228"/>
    </row>
    <row r="326" spans="1:12" x14ac:dyDescent="0.3">
      <c r="A326" s="33"/>
      <c r="B326" s="34"/>
      <c r="C326" s="214"/>
      <c r="D326" s="36"/>
      <c r="E326" s="36"/>
      <c r="F326" s="37" t="s">
        <v>118</v>
      </c>
      <c r="G326" s="37"/>
      <c r="H326" s="38">
        <f>SUM(H325:H325)</f>
        <v>2</v>
      </c>
      <c r="I326" s="39" t="s">
        <v>4</v>
      </c>
      <c r="J326" s="40"/>
      <c r="K326" s="41" t="str">
        <f>""</f>
        <v/>
      </c>
      <c r="L326" s="42"/>
    </row>
    <row r="327" spans="1:12" ht="31.2" x14ac:dyDescent="0.3">
      <c r="A327" s="43"/>
      <c r="B327" s="44"/>
      <c r="C327" s="210"/>
      <c r="D327" s="46"/>
      <c r="E327" s="47" t="s">
        <v>119</v>
      </c>
      <c r="F327" s="47"/>
      <c r="G327" s="47"/>
      <c r="H327" s="48">
        <f>ROUND(H326*1,3)</f>
        <v>2</v>
      </c>
      <c r="I327" s="49" t="s">
        <v>120</v>
      </c>
      <c r="J327" s="50" t="s">
        <v>19</v>
      </c>
      <c r="K327" s="51">
        <f>IF(B324="22.22.1",_xlfn.IFS(J327="Labour Rate",1022,J327="Material Rate",2471,J327="Through Rate",3493,TRUE,""),"")</f>
        <v>3493</v>
      </c>
      <c r="L327" s="52">
        <f>IF(H327*K327&lt;&gt;0,H327*K327,0)</f>
        <v>6986</v>
      </c>
    </row>
    <row r="328" spans="1:12" ht="14.1" customHeight="1" x14ac:dyDescent="0.3">
      <c r="A328" s="53"/>
      <c r="B328" s="54"/>
      <c r="C328" s="211"/>
      <c r="D328" s="56"/>
      <c r="E328" s="56"/>
      <c r="F328" s="57"/>
      <c r="G328" s="56"/>
      <c r="H328" s="57"/>
      <c r="I328" s="58"/>
      <c r="J328" s="59"/>
      <c r="K328" s="60"/>
      <c r="L328" s="61"/>
    </row>
    <row r="329" spans="1:12" ht="122.4" x14ac:dyDescent="0.3">
      <c r="A329" s="13">
        <f>IFERROR(LOOKUP(2,1/(ISNUMBER($A$4:$A$328)),$A$4:$A$328),0)+1</f>
        <v>44</v>
      </c>
      <c r="B329" s="14" t="s">
        <v>149</v>
      </c>
      <c r="C329" s="15" t="s">
        <v>150</v>
      </c>
      <c r="D329" s="215"/>
      <c r="E329" s="216"/>
      <c r="F329" s="217"/>
      <c r="G329" s="216"/>
      <c r="H329" s="218"/>
      <c r="I329" s="219"/>
      <c r="J329" s="220"/>
      <c r="K329" s="221"/>
      <c r="L329" s="222"/>
    </row>
    <row r="330" spans="1:12" x14ac:dyDescent="0.3">
      <c r="A330" s="23"/>
      <c r="B330" s="148"/>
      <c r="C330" s="149"/>
      <c r="D330" s="223">
        <v>1</v>
      </c>
      <c r="E330" s="223">
        <v>1</v>
      </c>
      <c r="F330" s="224"/>
      <c r="G330" s="223"/>
      <c r="H330" s="152">
        <f>D330*IF(OR(E330=0,E330="-"),1,E330)*IF(OR(F330=0,F330="-"),1,F330)*IF(OR(G330=0,G330="-"),1,G330)</f>
        <v>1</v>
      </c>
      <c r="I330" s="225" t="s">
        <v>4</v>
      </c>
      <c r="J330" s="226"/>
      <c r="K330" s="227"/>
      <c r="L330" s="228"/>
    </row>
    <row r="331" spans="1:12" x14ac:dyDescent="0.3">
      <c r="A331" s="33"/>
      <c r="B331" s="34"/>
      <c r="C331" s="214"/>
      <c r="D331" s="36"/>
      <c r="E331" s="36"/>
      <c r="F331" s="37" t="s">
        <v>118</v>
      </c>
      <c r="G331" s="37"/>
      <c r="H331" s="38">
        <f>SUM(H330:H330)</f>
        <v>1</v>
      </c>
      <c r="I331" s="39" t="s">
        <v>4</v>
      </c>
      <c r="J331" s="40"/>
      <c r="K331" s="41" t="str">
        <f>""</f>
        <v/>
      </c>
      <c r="L331" s="42"/>
    </row>
    <row r="332" spans="1:12" ht="31.2" x14ac:dyDescent="0.3">
      <c r="A332" s="43"/>
      <c r="B332" s="44"/>
      <c r="C332" s="210"/>
      <c r="D332" s="46"/>
      <c r="E332" s="47" t="s">
        <v>119</v>
      </c>
      <c r="F332" s="47"/>
      <c r="G332" s="47"/>
      <c r="H332" s="48">
        <f>ROUND(H331*1,3)</f>
        <v>1</v>
      </c>
      <c r="I332" s="49" t="s">
        <v>120</v>
      </c>
      <c r="J332" s="50" t="s">
        <v>19</v>
      </c>
      <c r="K332" s="51">
        <f>IF(B329="22.24.1",_xlfn.IFS(J332="Labour Rate",1178,J332="Material Rate",3209,J332="Through Rate",4386,TRUE,""),"")</f>
        <v>4386</v>
      </c>
      <c r="L332" s="52">
        <f>IF(H332*K332&lt;&gt;0,H332*K332,0)</f>
        <v>4386</v>
      </c>
    </row>
    <row r="333" spans="1:12" ht="14.1" customHeight="1" x14ac:dyDescent="0.3">
      <c r="A333" s="53"/>
      <c r="B333" s="54"/>
      <c r="C333" s="211"/>
      <c r="D333" s="56"/>
      <c r="E333" s="56"/>
      <c r="F333" s="57"/>
      <c r="G333" s="56"/>
      <c r="H333" s="57"/>
      <c r="I333" s="58"/>
      <c r="J333" s="59"/>
      <c r="K333" s="60"/>
      <c r="L333" s="61"/>
    </row>
    <row r="334" spans="1:12" ht="55.2" x14ac:dyDescent="0.3">
      <c r="A334" s="13">
        <f>IFERROR(LOOKUP(2,1/(ISNUMBER($A$4:$A$333)),$A$4:$A$333),0)+1</f>
        <v>45</v>
      </c>
      <c r="B334" s="14" t="s">
        <v>151</v>
      </c>
      <c r="C334" s="15" t="s">
        <v>152</v>
      </c>
      <c r="D334" s="215"/>
      <c r="E334" s="216"/>
      <c r="F334" s="217"/>
      <c r="G334" s="216"/>
      <c r="H334" s="218"/>
      <c r="I334" s="219"/>
      <c r="J334" s="220"/>
      <c r="K334" s="221"/>
      <c r="L334" s="222"/>
    </row>
    <row r="335" spans="1:12" x14ac:dyDescent="0.3">
      <c r="A335" s="23"/>
      <c r="B335" s="148"/>
      <c r="C335" s="149"/>
      <c r="D335" s="223">
        <v>1</v>
      </c>
      <c r="E335" s="223">
        <v>1</v>
      </c>
      <c r="F335" s="224"/>
      <c r="G335" s="223"/>
      <c r="H335" s="152">
        <f>D335*IF(OR(E335=0,E335="-"),1,E335)*IF(OR(F335=0,F335="-"),1,F335)*IF(OR(G335=0,G335="-"),1,G335)</f>
        <v>1</v>
      </c>
      <c r="I335" s="225" t="s">
        <v>4</v>
      </c>
      <c r="J335" s="226"/>
      <c r="K335" s="227"/>
      <c r="L335" s="228"/>
    </row>
    <row r="336" spans="1:12" x14ac:dyDescent="0.3">
      <c r="A336" s="33"/>
      <c r="B336" s="34"/>
      <c r="C336" s="214"/>
      <c r="D336" s="36"/>
      <c r="E336" s="36"/>
      <c r="F336" s="37" t="s">
        <v>118</v>
      </c>
      <c r="G336" s="37"/>
      <c r="H336" s="38">
        <f>SUM(H335:H335)</f>
        <v>1</v>
      </c>
      <c r="I336" s="39" t="s">
        <v>4</v>
      </c>
      <c r="J336" s="40"/>
      <c r="K336" s="41" t="str">
        <f>""</f>
        <v/>
      </c>
      <c r="L336" s="42"/>
    </row>
    <row r="337" spans="1:12" ht="31.2" x14ac:dyDescent="0.3">
      <c r="A337" s="43"/>
      <c r="B337" s="44"/>
      <c r="C337" s="210"/>
      <c r="D337" s="46"/>
      <c r="E337" s="47" t="s">
        <v>119</v>
      </c>
      <c r="F337" s="47"/>
      <c r="G337" s="47"/>
      <c r="H337" s="48">
        <f>ROUND(H336*1,3)</f>
        <v>1</v>
      </c>
      <c r="I337" s="49" t="s">
        <v>120</v>
      </c>
      <c r="J337" s="50" t="s">
        <v>19</v>
      </c>
      <c r="K337" s="51">
        <f>IF(B334="22.38",_xlfn.IFS(J337="Labour Rate",9,J337="Material Rate",232,J337="Through Rate",241,TRUE,""),"")</f>
        <v>241</v>
      </c>
      <c r="L337" s="52">
        <f>IF(H337*K337&lt;&gt;0,H337*K337,0)</f>
        <v>241</v>
      </c>
    </row>
    <row r="338" spans="1:12" ht="14.1" customHeight="1" x14ac:dyDescent="0.3">
      <c r="A338" s="53"/>
      <c r="B338" s="54"/>
      <c r="C338" s="211"/>
      <c r="D338" s="56"/>
      <c r="E338" s="56"/>
      <c r="F338" s="57"/>
      <c r="G338" s="56"/>
      <c r="H338" s="57"/>
      <c r="I338" s="58"/>
      <c r="J338" s="59"/>
      <c r="K338" s="60"/>
      <c r="L338" s="61"/>
    </row>
    <row r="339" spans="1:12" ht="120.6" x14ac:dyDescent="0.3">
      <c r="A339" s="13">
        <f>IFERROR(LOOKUP(2,1/(ISNUMBER($A$4:$A$338)),$A$4:$A$338),0)+1</f>
        <v>46</v>
      </c>
      <c r="B339" s="14" t="s">
        <v>153</v>
      </c>
      <c r="C339" s="15" t="s">
        <v>154</v>
      </c>
      <c r="D339" s="215"/>
      <c r="E339" s="216"/>
      <c r="F339" s="217"/>
      <c r="G339" s="216"/>
      <c r="H339" s="218"/>
      <c r="I339" s="219"/>
      <c r="J339" s="220"/>
      <c r="K339" s="221"/>
      <c r="L339" s="222"/>
    </row>
    <row r="340" spans="1:12" x14ac:dyDescent="0.3">
      <c r="A340" s="23"/>
      <c r="B340" s="148"/>
      <c r="C340" s="149"/>
      <c r="D340" s="223">
        <v>2</v>
      </c>
      <c r="E340" s="223">
        <v>1</v>
      </c>
      <c r="F340" s="224"/>
      <c r="G340" s="223"/>
      <c r="H340" s="152">
        <f>D340*IF(OR(E340=0,E340="-"),1,E340)*IF(OR(F340=0,F340="-"),1,F340)*IF(OR(G340=0,G340="-"),1,G340)</f>
        <v>2</v>
      </c>
      <c r="I340" s="225" t="s">
        <v>133</v>
      </c>
      <c r="J340" s="226"/>
      <c r="K340" s="227"/>
      <c r="L340" s="228"/>
    </row>
    <row r="341" spans="1:12" x14ac:dyDescent="0.3">
      <c r="A341" s="33"/>
      <c r="B341" s="34"/>
      <c r="C341" s="214"/>
      <c r="D341" s="36"/>
      <c r="E341" s="36"/>
      <c r="F341" s="37" t="s">
        <v>119</v>
      </c>
      <c r="G341" s="37"/>
      <c r="H341" s="38">
        <f>SUM(H340:H340)</f>
        <v>2</v>
      </c>
      <c r="I341" s="39" t="s">
        <v>133</v>
      </c>
      <c r="J341" s="40"/>
      <c r="K341" s="41" t="str">
        <f>""</f>
        <v/>
      </c>
      <c r="L341" s="42"/>
    </row>
    <row r="342" spans="1:12" ht="31.2" x14ac:dyDescent="0.3">
      <c r="A342" s="43"/>
      <c r="B342" s="44"/>
      <c r="C342" s="210"/>
      <c r="D342" s="46"/>
      <c r="E342" s="47" t="s">
        <v>119</v>
      </c>
      <c r="F342" s="47"/>
      <c r="G342" s="47"/>
      <c r="H342" s="48">
        <f>ROUND(H341*1,3)</f>
        <v>2</v>
      </c>
      <c r="I342" s="49" t="s">
        <v>120</v>
      </c>
      <c r="J342" s="50" t="s">
        <v>19</v>
      </c>
      <c r="K342" s="51">
        <f>IF(B339="22.25.2",_xlfn.IFS(J342="Labour Rate",1167,J342="Material Rate",1678,J342="Through Rate",2845,TRUE,""),"")</f>
        <v>2845</v>
      </c>
      <c r="L342" s="52">
        <f>IF(H342*K342&lt;&gt;0,H342*K342,0)</f>
        <v>5690</v>
      </c>
    </row>
    <row r="343" spans="1:12" ht="14.1" customHeight="1" x14ac:dyDescent="0.3">
      <c r="A343" s="53"/>
      <c r="B343" s="54"/>
      <c r="C343" s="211"/>
      <c r="D343" s="56"/>
      <c r="E343" s="56"/>
      <c r="F343" s="57"/>
      <c r="G343" s="56"/>
      <c r="H343" s="57"/>
      <c r="I343" s="58"/>
      <c r="J343" s="59"/>
      <c r="K343" s="60"/>
      <c r="L343" s="61"/>
    </row>
    <row r="344" spans="1:12" ht="39.6" x14ac:dyDescent="0.3">
      <c r="A344" s="13">
        <f>IFERROR(LOOKUP(2,1/(ISNUMBER($A$4:$A$343)),$A$4:$A$343),0)+1</f>
        <v>47</v>
      </c>
      <c r="B344" s="14" t="s">
        <v>155</v>
      </c>
      <c r="C344" s="15" t="s">
        <v>156</v>
      </c>
      <c r="D344" s="215"/>
      <c r="E344" s="216"/>
      <c r="F344" s="217"/>
      <c r="G344" s="216"/>
      <c r="H344" s="218"/>
      <c r="I344" s="219"/>
      <c r="J344" s="220"/>
      <c r="K344" s="221"/>
      <c r="L344" s="222"/>
    </row>
    <row r="345" spans="1:12" x14ac:dyDescent="0.3">
      <c r="A345" s="23"/>
      <c r="B345" s="148"/>
      <c r="C345" s="149"/>
      <c r="D345" s="223">
        <v>4</v>
      </c>
      <c r="E345" s="223">
        <v>1</v>
      </c>
      <c r="F345" s="224"/>
      <c r="G345" s="223"/>
      <c r="H345" s="152">
        <f>D345*IF(OR(E345=0,E345="-"),1,E345)*IF(OR(F345=0,F345="-"),1,F345)*IF(OR(G345=0,G345="-"),1,G345)</f>
        <v>4</v>
      </c>
      <c r="I345" s="225" t="s">
        <v>133</v>
      </c>
      <c r="J345" s="226"/>
      <c r="K345" s="227"/>
      <c r="L345" s="228"/>
    </row>
    <row r="346" spans="1:12" x14ac:dyDescent="0.3">
      <c r="A346" s="33"/>
      <c r="B346" s="34"/>
      <c r="C346" s="214"/>
      <c r="D346" s="36"/>
      <c r="E346" s="36"/>
      <c r="F346" s="37" t="s">
        <v>119</v>
      </c>
      <c r="G346" s="37"/>
      <c r="H346" s="38">
        <f>SUM(H345:H345)</f>
        <v>4</v>
      </c>
      <c r="I346" s="39" t="s">
        <v>133</v>
      </c>
      <c r="J346" s="40"/>
      <c r="K346" s="41" t="str">
        <f>""</f>
        <v/>
      </c>
      <c r="L346" s="42"/>
    </row>
    <row r="347" spans="1:12" ht="31.2" x14ac:dyDescent="0.3">
      <c r="A347" s="43"/>
      <c r="B347" s="44"/>
      <c r="C347" s="210"/>
      <c r="D347" s="46"/>
      <c r="E347" s="47" t="s">
        <v>119</v>
      </c>
      <c r="F347" s="47"/>
      <c r="G347" s="47"/>
      <c r="H347" s="48">
        <f>ROUND(H346*1,3)</f>
        <v>4</v>
      </c>
      <c r="I347" s="49" t="s">
        <v>120</v>
      </c>
      <c r="J347" s="50" t="s">
        <v>19</v>
      </c>
      <c r="K347" s="51">
        <f>IF(B344="22.82.1",_xlfn.IFS(J347="Labour Rate",60,J347="Material Rate",75,J347="Through Rate",135,TRUE,""),"")</f>
        <v>135</v>
      </c>
      <c r="L347" s="52">
        <f>IF(H347*K347&lt;&gt;0,H347*K347,0)</f>
        <v>540</v>
      </c>
    </row>
    <row r="348" spans="1:12" ht="14.1" customHeight="1" x14ac:dyDescent="0.3">
      <c r="A348" s="53"/>
      <c r="B348" s="54"/>
      <c r="C348" s="211"/>
      <c r="D348" s="56"/>
      <c r="E348" s="56"/>
      <c r="F348" s="57"/>
      <c r="G348" s="56"/>
      <c r="H348" s="57"/>
      <c r="I348" s="58"/>
      <c r="J348" s="59"/>
      <c r="K348" s="60"/>
      <c r="L348" s="61"/>
    </row>
    <row r="349" spans="1:12" ht="108.6" x14ac:dyDescent="0.3">
      <c r="A349" s="13">
        <f>IFERROR(LOOKUP(2,1/(ISNUMBER($A$4:$A$348)),$A$4:$A$348),0)+1</f>
        <v>48</v>
      </c>
      <c r="B349" s="14" t="s">
        <v>157</v>
      </c>
      <c r="C349" s="15" t="s">
        <v>158</v>
      </c>
      <c r="D349" s="215"/>
      <c r="E349" s="216"/>
      <c r="F349" s="217"/>
      <c r="G349" s="216"/>
      <c r="H349" s="218"/>
      <c r="I349" s="219"/>
      <c r="J349" s="220"/>
      <c r="K349" s="221"/>
      <c r="L349" s="222"/>
    </row>
    <row r="350" spans="1:12" x14ac:dyDescent="0.3">
      <c r="A350" s="23"/>
      <c r="B350" s="148"/>
      <c r="C350" s="149"/>
      <c r="D350" s="223">
        <v>1</v>
      </c>
      <c r="E350" s="223">
        <v>80</v>
      </c>
      <c r="F350" s="224"/>
      <c r="G350" s="223"/>
      <c r="H350" s="152">
        <f>D350*IF(OR(E350=0,E350="-"),1,E350)*IF(OR(F350=0,F350="-"),1,F350)*IF(OR(G350=0,G350="-"),1,G350)</f>
        <v>80</v>
      </c>
      <c r="I350" s="225" t="s">
        <v>39</v>
      </c>
      <c r="J350" s="226"/>
      <c r="K350" s="227"/>
      <c r="L350" s="228"/>
    </row>
    <row r="351" spans="1:12" x14ac:dyDescent="0.3">
      <c r="A351" s="33"/>
      <c r="B351" s="34"/>
      <c r="C351" s="214"/>
      <c r="D351" s="36"/>
      <c r="E351" s="36"/>
      <c r="F351" s="37" t="s">
        <v>41</v>
      </c>
      <c r="G351" s="37"/>
      <c r="H351" s="38">
        <f>SUM(H350:H350)</f>
        <v>80</v>
      </c>
      <c r="I351" s="39" t="s">
        <v>39</v>
      </c>
      <c r="J351" s="40"/>
      <c r="K351" s="41" t="str">
        <f>""</f>
        <v/>
      </c>
      <c r="L351" s="42"/>
    </row>
    <row r="352" spans="1:12" ht="31.2" x14ac:dyDescent="0.3">
      <c r="A352" s="43"/>
      <c r="B352" s="44"/>
      <c r="C352" s="210"/>
      <c r="D352" s="46"/>
      <c r="E352" s="47" t="s">
        <v>42</v>
      </c>
      <c r="F352" s="47"/>
      <c r="G352" s="47"/>
      <c r="H352" s="48">
        <f>ROUND(H351*0.3048,3)</f>
        <v>24.384</v>
      </c>
      <c r="I352" s="49" t="s">
        <v>70</v>
      </c>
      <c r="J352" s="50" t="s">
        <v>19</v>
      </c>
      <c r="K352" s="51">
        <f>IF(B349="22.86.1",_xlfn.IFS(J352="Labour Rate",105,J352="Material Rate",100,J352="Through Rate",205,TRUE,""),"")</f>
        <v>205</v>
      </c>
      <c r="L352" s="52">
        <f>IF(H352*K352&lt;&gt;0,H352*K352,0)</f>
        <v>4998.72</v>
      </c>
    </row>
    <row r="353" spans="1:12" ht="14.1" customHeight="1" x14ac:dyDescent="0.3">
      <c r="A353" s="53"/>
      <c r="B353" s="54"/>
      <c r="C353" s="211"/>
      <c r="D353" s="56"/>
      <c r="E353" s="56"/>
      <c r="F353" s="57"/>
      <c r="G353" s="56"/>
      <c r="H353" s="57"/>
      <c r="I353" s="58"/>
      <c r="J353" s="59"/>
      <c r="K353" s="60"/>
      <c r="L353" s="61"/>
    </row>
    <row r="354" spans="1:12" ht="108.6" x14ac:dyDescent="0.3">
      <c r="A354" s="13">
        <f>IFERROR(LOOKUP(2,1/(ISNUMBER($A$4:$A$353)),$A$4:$A$353),0)+1</f>
        <v>49</v>
      </c>
      <c r="B354" s="14" t="s">
        <v>159</v>
      </c>
      <c r="C354" s="15" t="s">
        <v>160</v>
      </c>
      <c r="D354" s="215"/>
      <c r="E354" s="216"/>
      <c r="F354" s="217"/>
      <c r="G354" s="216"/>
      <c r="H354" s="218"/>
      <c r="I354" s="219"/>
      <c r="J354" s="220"/>
      <c r="K354" s="221"/>
      <c r="L354" s="222"/>
    </row>
    <row r="355" spans="1:12" x14ac:dyDescent="0.3">
      <c r="A355" s="23"/>
      <c r="B355" s="148"/>
      <c r="C355" s="149"/>
      <c r="D355" s="223">
        <v>1</v>
      </c>
      <c r="E355" s="223">
        <v>50</v>
      </c>
      <c r="F355" s="224"/>
      <c r="G355" s="223"/>
      <c r="H355" s="152">
        <f>D355*IF(OR(E355=0,E355="-"),1,E355)*IF(OR(F355=0,F355="-"),1,F355)*IF(OR(G355=0,G355="-"),1,G355)</f>
        <v>50</v>
      </c>
      <c r="I355" s="225" t="s">
        <v>123</v>
      </c>
      <c r="J355" s="226"/>
      <c r="K355" s="227"/>
      <c r="L355" s="228"/>
    </row>
    <row r="356" spans="1:12" x14ac:dyDescent="0.3">
      <c r="A356" s="33"/>
      <c r="B356" s="157"/>
      <c r="C356" s="158"/>
      <c r="D356" s="157"/>
      <c r="E356" s="157"/>
      <c r="F356" s="160" t="s">
        <v>124</v>
      </c>
      <c r="G356" s="160"/>
      <c r="H356" s="161">
        <f>SUM(H355:H355)</f>
        <v>50</v>
      </c>
      <c r="I356" s="229" t="s">
        <v>123</v>
      </c>
      <c r="J356" s="230"/>
      <c r="K356" s="164" t="str">
        <f>""</f>
        <v/>
      </c>
      <c r="L356" s="231"/>
    </row>
    <row r="357" spans="1:12" ht="31.2" x14ac:dyDescent="0.3">
      <c r="A357" s="43"/>
      <c r="B357" s="44"/>
      <c r="C357" s="210"/>
      <c r="D357" s="46"/>
      <c r="E357" s="47" t="s">
        <v>124</v>
      </c>
      <c r="F357" s="47"/>
      <c r="G357" s="47"/>
      <c r="H357" s="48">
        <f>ROUND(H356*1,3)</f>
        <v>50</v>
      </c>
      <c r="I357" s="49" t="s">
        <v>70</v>
      </c>
      <c r="J357" s="50" t="s">
        <v>19</v>
      </c>
      <c r="K357" s="51">
        <f>IF(B354="22.86.2",_xlfn.IFS(J357="Labour Rate",105,J357="Material Rate",159,J357="Through Rate",264,TRUE,""),"")</f>
        <v>264</v>
      </c>
      <c r="L357" s="52">
        <f>IF(H357*K357&lt;&gt;0,H357*K357,0)</f>
        <v>13200</v>
      </c>
    </row>
    <row r="358" spans="1:12" ht="14.1" customHeight="1" x14ac:dyDescent="0.3">
      <c r="A358" s="53"/>
      <c r="B358" s="54"/>
      <c r="C358" s="211"/>
      <c r="D358" s="56"/>
      <c r="E358" s="56"/>
      <c r="F358" s="57"/>
      <c r="G358" s="56"/>
      <c r="H358" s="57"/>
      <c r="I358" s="58"/>
      <c r="J358" s="59"/>
      <c r="K358" s="60"/>
      <c r="L358" s="61"/>
    </row>
    <row r="359" spans="1:12" ht="69" x14ac:dyDescent="0.3">
      <c r="A359" s="13">
        <f>IFERROR(LOOKUP(2,1/(ISNUMBER($A$4:$A$358)),$A$4:$A$358),0)+1</f>
        <v>50</v>
      </c>
      <c r="B359" s="14" t="s">
        <v>161</v>
      </c>
      <c r="C359" s="15" t="s">
        <v>162</v>
      </c>
      <c r="D359" s="215"/>
      <c r="E359" s="216"/>
      <c r="F359" s="217"/>
      <c r="G359" s="216"/>
      <c r="H359" s="218"/>
      <c r="I359" s="219"/>
      <c r="J359" s="220"/>
      <c r="K359" s="221"/>
      <c r="L359" s="222"/>
    </row>
    <row r="360" spans="1:12" x14ac:dyDescent="0.3">
      <c r="A360" s="23"/>
      <c r="B360" s="148"/>
      <c r="C360" s="149"/>
      <c r="D360" s="223">
        <v>1</v>
      </c>
      <c r="E360" s="223">
        <v>500</v>
      </c>
      <c r="F360" s="224"/>
      <c r="G360" s="223"/>
      <c r="H360" s="152">
        <f>D360*IF(OR(E360=0,E360="-"),1,E360)*IF(OR(F360=0,F360="-"),1,F360)*IF(OR(G360=0,G360="-"),1,G360)</f>
        <v>500</v>
      </c>
      <c r="I360" s="225" t="s">
        <v>163</v>
      </c>
      <c r="J360" s="226"/>
      <c r="K360" s="227"/>
      <c r="L360" s="228"/>
    </row>
    <row r="361" spans="1:12" x14ac:dyDescent="0.3">
      <c r="A361" s="33"/>
      <c r="B361" s="34"/>
      <c r="C361" s="214"/>
      <c r="D361" s="36"/>
      <c r="E361" s="36"/>
      <c r="F361" s="37" t="s">
        <v>164</v>
      </c>
      <c r="G361" s="37"/>
      <c r="H361" s="38">
        <f>SUM(H360:H360)</f>
        <v>500</v>
      </c>
      <c r="I361" s="39" t="s">
        <v>163</v>
      </c>
      <c r="J361" s="40"/>
      <c r="K361" s="41" t="str">
        <f>""</f>
        <v/>
      </c>
      <c r="L361" s="42"/>
    </row>
    <row r="362" spans="1:12" ht="31.2" x14ac:dyDescent="0.3">
      <c r="A362" s="43"/>
      <c r="B362" s="44"/>
      <c r="C362" s="210"/>
      <c r="D362" s="46"/>
      <c r="E362" s="47" t="s">
        <v>165</v>
      </c>
      <c r="F362" s="47"/>
      <c r="G362" s="47"/>
      <c r="H362" s="48">
        <f>ROUND(H361*1,3)</f>
        <v>500</v>
      </c>
      <c r="I362" s="49" t="s">
        <v>166</v>
      </c>
      <c r="J362" s="50" t="s">
        <v>19</v>
      </c>
      <c r="K362" s="51">
        <f>IF(B359="22.181",_xlfn.IFS(J362="Material Rate",6,J362="Through Rate",7,TRUE,""),"")</f>
        <v>7</v>
      </c>
      <c r="L362" s="52">
        <f>IF(H362*K362&lt;&gt;0,H362*K362,0)</f>
        <v>3500</v>
      </c>
    </row>
    <row r="363" spans="1:12" ht="14.1" customHeight="1" x14ac:dyDescent="0.3">
      <c r="A363" s="53"/>
      <c r="B363" s="54"/>
      <c r="C363" s="211"/>
      <c r="D363" s="56"/>
      <c r="E363" s="56"/>
      <c r="F363" s="57"/>
      <c r="G363" s="56"/>
      <c r="H363" s="57"/>
      <c r="I363" s="58"/>
      <c r="J363" s="59"/>
      <c r="K363" s="60"/>
      <c r="L363" s="61"/>
    </row>
    <row r="364" spans="1:12" ht="66" x14ac:dyDescent="0.3">
      <c r="A364" s="13">
        <f>IFERROR(LOOKUP(2,1/(ISNUMBER($A$4:$A$363)),$A$4:$A$363),0)+1</f>
        <v>51</v>
      </c>
      <c r="B364" s="62" t="s">
        <v>167</v>
      </c>
      <c r="C364" s="15" t="s">
        <v>168</v>
      </c>
      <c r="D364" s="215"/>
      <c r="E364" s="216"/>
      <c r="F364" s="217"/>
      <c r="G364" s="216"/>
      <c r="H364" s="218"/>
      <c r="I364" s="219"/>
      <c r="J364" s="220"/>
      <c r="K364" s="221"/>
      <c r="L364" s="222"/>
    </row>
    <row r="365" spans="1:12" x14ac:dyDescent="0.3">
      <c r="A365" s="23"/>
      <c r="B365" s="148"/>
      <c r="C365" s="149"/>
      <c r="D365" s="223">
        <v>1</v>
      </c>
      <c r="E365" s="223">
        <v>40</v>
      </c>
      <c r="F365" s="224"/>
      <c r="G365" s="223"/>
      <c r="H365" s="152">
        <f>D365*IF(OR(E365=0,E365="-"),1,E365)*IF(OR(F365=0,F365="-"),1,F365)*IF(OR(G365=0,G365="-"),1,G365)</f>
        <v>40</v>
      </c>
      <c r="I365" s="225" t="s">
        <v>123</v>
      </c>
      <c r="J365" s="226"/>
      <c r="K365" s="227"/>
      <c r="L365" s="228"/>
    </row>
    <row r="366" spans="1:12" x14ac:dyDescent="0.3">
      <c r="A366" s="33"/>
      <c r="B366" s="157"/>
      <c r="C366" s="158"/>
      <c r="D366" s="157"/>
      <c r="E366" s="157"/>
      <c r="F366" s="160" t="s">
        <v>124</v>
      </c>
      <c r="G366" s="160"/>
      <c r="H366" s="161">
        <f>SUM(H365:H365)</f>
        <v>40</v>
      </c>
      <c r="I366" s="229" t="s">
        <v>123</v>
      </c>
      <c r="J366" s="230"/>
      <c r="K366" s="164" t="str">
        <f>""</f>
        <v/>
      </c>
      <c r="L366" s="231"/>
    </row>
    <row r="367" spans="1:12" ht="31.2" x14ac:dyDescent="0.3">
      <c r="A367" s="43"/>
      <c r="B367" s="44"/>
      <c r="C367" s="210"/>
      <c r="D367" s="46"/>
      <c r="E367" s="47" t="s">
        <v>124</v>
      </c>
      <c r="F367" s="47"/>
      <c r="G367" s="47"/>
      <c r="H367" s="48">
        <f>ROUND(H366*1,3)</f>
        <v>40</v>
      </c>
      <c r="I367" s="49" t="s">
        <v>70</v>
      </c>
      <c r="J367" s="50" t="s">
        <v>19</v>
      </c>
      <c r="K367" s="51">
        <f>IF(B364="22.222.2.2",_xlfn.IFS(J367="Labour Rate",87,J367="Material Rate",236,J367="Through Rate",322,TRUE,""),"")</f>
        <v>322</v>
      </c>
      <c r="L367" s="52">
        <f>IF(H367*K367&lt;&gt;0,H367*K367,0)</f>
        <v>12880</v>
      </c>
    </row>
    <row r="368" spans="1:12" ht="14.1" customHeight="1" x14ac:dyDescent="0.3">
      <c r="A368" s="53"/>
      <c r="B368" s="54"/>
      <c r="C368" s="211"/>
      <c r="D368" s="56"/>
      <c r="E368" s="56"/>
      <c r="F368" s="57"/>
      <c r="G368" s="56"/>
      <c r="H368" s="57"/>
      <c r="I368" s="58"/>
      <c r="J368" s="59"/>
      <c r="K368" s="60"/>
      <c r="L368" s="61"/>
    </row>
    <row r="369" spans="1:13" ht="39.6" x14ac:dyDescent="0.3">
      <c r="A369" s="13">
        <f>IFERROR(LOOKUP(2,1/(ISNUMBER($A$4:$A$368)),$A$4:$A$368),0)+1</f>
        <v>52</v>
      </c>
      <c r="B369" s="14" t="s">
        <v>169</v>
      </c>
      <c r="C369" s="15" t="s">
        <v>170</v>
      </c>
      <c r="D369" s="215"/>
      <c r="E369" s="216"/>
      <c r="F369" s="217"/>
      <c r="G369" s="216"/>
      <c r="H369" s="218"/>
      <c r="I369" s="219"/>
      <c r="J369" s="220"/>
      <c r="K369" s="221"/>
      <c r="L369" s="222"/>
    </row>
    <row r="370" spans="1:13" x14ac:dyDescent="0.3">
      <c r="A370" s="23"/>
      <c r="B370" s="148"/>
      <c r="C370" s="149"/>
      <c r="D370" s="223">
        <v>3</v>
      </c>
      <c r="E370" s="223">
        <v>1</v>
      </c>
      <c r="F370" s="224"/>
      <c r="G370" s="223"/>
      <c r="H370" s="152">
        <f>D370*IF(OR(E370=0,E370="-"),1,E370)*IF(OR(F370=0,F370="-"),1,F370)*IF(OR(G370=0,G370="-"),1,G370)</f>
        <v>3</v>
      </c>
      <c r="I370" s="225" t="s">
        <v>171</v>
      </c>
      <c r="J370" s="226"/>
      <c r="K370" s="227"/>
      <c r="L370" s="228"/>
    </row>
    <row r="371" spans="1:13" ht="17.399999999999999" x14ac:dyDescent="0.3">
      <c r="A371" s="33"/>
      <c r="B371" s="36"/>
      <c r="C371" s="206"/>
      <c r="D371" s="36"/>
      <c r="E371" s="36"/>
      <c r="F371" s="37" t="s">
        <v>172</v>
      </c>
      <c r="G371" s="37"/>
      <c r="H371" s="232">
        <f>SUM(H370:H370)</f>
        <v>3</v>
      </c>
      <c r="I371" s="233" t="s">
        <v>171</v>
      </c>
      <c r="J371" s="234"/>
      <c r="K371" s="235" t="str">
        <f>""</f>
        <v/>
      </c>
      <c r="L371" s="236"/>
    </row>
    <row r="372" spans="1:13" s="237" customFormat="1" ht="31.2" x14ac:dyDescent="0.3">
      <c r="A372" s="46" t="s">
        <v>173</v>
      </c>
      <c r="B372" s="46"/>
      <c r="C372" s="207"/>
      <c r="D372" s="46"/>
      <c r="E372" s="47" t="s">
        <v>172</v>
      </c>
      <c r="F372" s="47"/>
      <c r="G372" s="47"/>
      <c r="H372" s="48">
        <f>ROUND(H371*1,3)</f>
        <v>3</v>
      </c>
      <c r="I372" s="49" t="s">
        <v>120</v>
      </c>
      <c r="J372" s="50" t="s">
        <v>19</v>
      </c>
      <c r="K372" s="51">
        <f>IF(B369="22.96.1",_xlfn.IFS(J372="Labour Rate",7,J372="Material Rate",244,J372="Through Rate",250,TRUE,""),"")</f>
        <v>250</v>
      </c>
      <c r="L372" s="52">
        <f>IF(H372*K372&lt;&gt;0,H372*K372,0)</f>
        <v>750</v>
      </c>
    </row>
    <row r="373" spans="1:13" ht="14.1" customHeight="1" x14ac:dyDescent="0.3">
      <c r="A373" s="238"/>
      <c r="B373" s="239"/>
      <c r="C373" s="240"/>
      <c r="D373" s="239"/>
      <c r="E373" s="239"/>
      <c r="F373" s="241"/>
      <c r="G373" s="239"/>
      <c r="H373" s="57"/>
      <c r="I373" s="240"/>
      <c r="J373" s="208"/>
      <c r="K373" s="56"/>
      <c r="L373" s="61"/>
    </row>
    <row r="374" spans="1:13" x14ac:dyDescent="0.3">
      <c r="H374" s="245"/>
      <c r="I374" s="246"/>
      <c r="J374" s="247" t="s">
        <v>174</v>
      </c>
      <c r="K374" s="248"/>
      <c r="L374" s="249">
        <f>SUM(L5:INDEX(L:L,ROW()-1))</f>
        <v>385976.37467901234</v>
      </c>
    </row>
    <row r="375" spans="1:13" x14ac:dyDescent="0.3">
      <c r="H375" s="245"/>
      <c r="I375" s="246"/>
      <c r="J375" s="250" t="s">
        <v>175</v>
      </c>
      <c r="K375" s="251"/>
      <c r="L375" s="252">
        <f>$L$374*0.18</f>
        <v>69475.747442222215</v>
      </c>
    </row>
    <row r="376" spans="1:13" x14ac:dyDescent="0.3">
      <c r="H376" s="245"/>
      <c r="I376" s="246"/>
      <c r="J376" s="250" t="s">
        <v>176</v>
      </c>
      <c r="K376" s="251"/>
      <c r="L376" s="252">
        <f>$L$374+$L$375</f>
        <v>455452.12212123454</v>
      </c>
    </row>
    <row r="377" spans="1:13" x14ac:dyDescent="0.3">
      <c r="H377" s="245"/>
      <c r="I377" s="246"/>
      <c r="J377" s="253" t="s">
        <v>177</v>
      </c>
      <c r="K377" s="254"/>
      <c r="L377" s="255">
        <f>L376*10%</f>
        <v>45545.212212123457</v>
      </c>
    </row>
    <row r="378" spans="1:13" x14ac:dyDescent="0.3">
      <c r="H378" s="245"/>
      <c r="I378" s="246"/>
      <c r="J378" s="253"/>
      <c r="K378" s="254"/>
      <c r="L378" s="255">
        <f>L376+L377</f>
        <v>500997.33433335798</v>
      </c>
    </row>
    <row r="379" spans="1:13" x14ac:dyDescent="0.3">
      <c r="H379" s="245"/>
      <c r="I379" s="246"/>
      <c r="J379" s="253" t="s">
        <v>178</v>
      </c>
      <c r="K379" s="254"/>
      <c r="L379" s="255">
        <f>L378*1%</f>
        <v>5009.9733433335796</v>
      </c>
    </row>
    <row r="380" spans="1:13" ht="16.2" thickBot="1" x14ac:dyDescent="0.35">
      <c r="H380" s="245"/>
      <c r="I380" s="246"/>
      <c r="J380" s="256" t="s">
        <v>179</v>
      </c>
      <c r="K380" s="257"/>
      <c r="L380" s="258">
        <f>L378+L379</f>
        <v>506007.30767669156</v>
      </c>
    </row>
    <row r="381" spans="1:13" ht="16.2" thickTop="1" x14ac:dyDescent="0.3">
      <c r="H381" s="245"/>
      <c r="I381" s="246"/>
      <c r="J381" s="259"/>
      <c r="K381" s="260"/>
      <c r="L381" s="261"/>
    </row>
    <row r="382" spans="1:13" ht="44.4" x14ac:dyDescent="0.3">
      <c r="H382" s="245"/>
      <c r="I382" s="262" t="s">
        <v>180</v>
      </c>
      <c r="J382" s="263" t="str">
        <f>IF(L380&gt;=10000000,ROUND(L380/10000000,2)&amp;" Crore",IF(L380&gt;=100000,ROUND(L380/100000,2)&amp;" Lakh",IF(L380&gt;=1000,ROUND(L380/1000,2)&amp;" Thousand",ROUND(L380,0)))) &amp; " Only"</f>
        <v>5.06 Lakh Only</v>
      </c>
      <c r="K382" s="263"/>
      <c r="L382" s="263"/>
    </row>
    <row r="383" spans="1:13" x14ac:dyDescent="0.3"/>
    <row r="384" spans="1:13" ht="15.6" customHeight="1" x14ac:dyDescent="0.3">
      <c r="E384"/>
      <c r="F384"/>
      <c r="G384"/>
      <c r="H384"/>
      <c r="I384"/>
      <c r="J384"/>
      <c r="K384"/>
      <c r="L384"/>
      <c r="M384"/>
    </row>
    <row r="385" spans="5:13" ht="15.6" customHeight="1" x14ac:dyDescent="0.3">
      <c r="E385"/>
      <c r="F385"/>
      <c r="G385"/>
      <c r="H385"/>
      <c r="I385"/>
      <c r="J385"/>
      <c r="K385"/>
      <c r="L385"/>
      <c r="M385"/>
    </row>
    <row r="386" spans="5:13" ht="15.6" customHeight="1" x14ac:dyDescent="0.3">
      <c r="E386"/>
      <c r="F386"/>
      <c r="G386"/>
      <c r="H386"/>
      <c r="I386"/>
      <c r="J386"/>
      <c r="K386"/>
      <c r="L386"/>
      <c r="M386"/>
    </row>
    <row r="387" spans="5:13" ht="15.6" customHeight="1" x14ac:dyDescent="0.3">
      <c r="E387"/>
      <c r="F387"/>
      <c r="G387"/>
      <c r="H387"/>
      <c r="I387"/>
      <c r="J387"/>
      <c r="K387"/>
      <c r="L387"/>
      <c r="M387"/>
    </row>
    <row r="388" spans="5:13" ht="15.6" customHeight="1" x14ac:dyDescent="0.3">
      <c r="E388"/>
      <c r="F388"/>
      <c r="G388"/>
      <c r="H388"/>
      <c r="I388"/>
      <c r="J388"/>
      <c r="K388"/>
      <c r="L388"/>
      <c r="M388"/>
    </row>
    <row r="389" spans="5:13" ht="15.6" customHeight="1" x14ac:dyDescent="0.3">
      <c r="E389"/>
      <c r="F389"/>
      <c r="G389"/>
      <c r="H389"/>
      <c r="I389"/>
      <c r="J389"/>
      <c r="K389"/>
      <c r="L389"/>
      <c r="M389"/>
    </row>
    <row r="390" spans="5:13" ht="15.6" customHeight="1" x14ac:dyDescent="0.3">
      <c r="E390"/>
      <c r="F390"/>
      <c r="G390"/>
      <c r="H390"/>
      <c r="I390"/>
      <c r="J390"/>
      <c r="K390"/>
      <c r="L390"/>
      <c r="M390"/>
    </row>
    <row r="391" spans="5:13" ht="15.6" customHeight="1" thickBot="1" x14ac:dyDescent="0.35">
      <c r="E391"/>
      <c r="F391"/>
      <c r="G391"/>
      <c r="H391"/>
      <c r="I391"/>
      <c r="J391"/>
      <c r="K391"/>
      <c r="L391"/>
      <c r="M391"/>
    </row>
    <row r="392" spans="5:13" ht="34.799999999999997" x14ac:dyDescent="0.3">
      <c r="E392"/>
      <c r="F392" s="266" t="s">
        <v>181</v>
      </c>
      <c r="G392" s="267"/>
      <c r="H392" s="268" t="s">
        <v>8</v>
      </c>
      <c r="I392" s="268" t="s">
        <v>9</v>
      </c>
      <c r="J392" s="268" t="s">
        <v>11</v>
      </c>
      <c r="K392" s="268" t="s">
        <v>182</v>
      </c>
      <c r="L392" s="268" t="s">
        <v>12</v>
      </c>
      <c r="M392" s="269" t="s">
        <v>183</v>
      </c>
    </row>
    <row r="393" spans="5:13" ht="30" customHeight="1" x14ac:dyDescent="0.3">
      <c r="E393" s="270" t="s">
        <v>184</v>
      </c>
      <c r="F393" s="271" t="s">
        <v>185</v>
      </c>
      <c r="G393" s="272"/>
      <c r="H393" s="273">
        <f>ROUND(SUM(H68+H153),2)</f>
        <v>38.409999999999997</v>
      </c>
      <c r="I393" s="274" t="str">
        <f>INDEX(I2:I372,MATCH("Total (Weight of φ8mm Rebar)",E2:E372,0))</f>
        <v>Kg</v>
      </c>
      <c r="J393" s="275">
        <v>70</v>
      </c>
      <c r="K393" s="276">
        <v>0.18</v>
      </c>
      <c r="L393" s="277">
        <f t="shared" ref="L393:L435" si="3">ROUND(H393*J393,0)</f>
        <v>2689</v>
      </c>
      <c r="M393" s="278">
        <f t="shared" ref="M393:M435" si="4">ROUND(L393*(1+K393),0)</f>
        <v>3173</v>
      </c>
    </row>
    <row r="394" spans="5:13" ht="30" customHeight="1" x14ac:dyDescent="0.3">
      <c r="E394" s="279"/>
      <c r="F394" s="280" t="s">
        <v>186</v>
      </c>
      <c r="G394" s="281"/>
      <c r="H394" s="282">
        <f>ROUND(SUM(H60+H145),2)</f>
        <v>148</v>
      </c>
      <c r="I394" s="283" t="str">
        <f>INDEX(I2:I372,MATCH("Total (Weight of φ12mm Rebar)",E2:E372,0))</f>
        <v>Kg</v>
      </c>
      <c r="J394" s="284">
        <v>70</v>
      </c>
      <c r="K394" s="285">
        <v>0.18</v>
      </c>
      <c r="L394" s="286">
        <f t="shared" si="3"/>
        <v>10360</v>
      </c>
      <c r="M394" s="287">
        <f t="shared" si="4"/>
        <v>12225</v>
      </c>
    </row>
    <row r="395" spans="5:13" ht="15" customHeight="1" x14ac:dyDescent="0.3">
      <c r="E395" s="288"/>
      <c r="F395" s="289" t="s">
        <v>187</v>
      </c>
      <c r="G395" s="290"/>
      <c r="H395" s="291">
        <f>ROUND(((H23)*3.4)+((H49+H94)*1.25)+((H79)*8)+((H102)*0.295)+((H112+H191)*1.25)+((H161+H173)*8)+((H196)*0.062)+((H202)*0.18)+((H214)*0.109)+((H222)*0.131)+((H228)*0.295)+((H236)*0.209)+((H242)*0.248)+((H263)*0.069)+((H268)*0.121),2)</f>
        <v>78.47</v>
      </c>
      <c r="I395" s="292" t="s">
        <v>188</v>
      </c>
      <c r="J395" s="293">
        <v>273.44</v>
      </c>
      <c r="K395" s="294">
        <v>0.28000000000000003</v>
      </c>
      <c r="L395" s="295">
        <f t="shared" si="3"/>
        <v>21457</v>
      </c>
      <c r="M395" s="296">
        <f t="shared" si="4"/>
        <v>27465</v>
      </c>
    </row>
    <row r="396" spans="5:13" ht="15" customHeight="1" x14ac:dyDescent="0.3">
      <c r="E396" s="297"/>
      <c r="F396" s="271" t="s">
        <v>189</v>
      </c>
      <c r="G396" s="272"/>
      <c r="H396" s="298">
        <f>ROUND(((H137)*35.336),2)</f>
        <v>4951.3900000000003</v>
      </c>
      <c r="I396" s="274" t="s">
        <v>190</v>
      </c>
      <c r="J396" s="275">
        <v>20</v>
      </c>
      <c r="K396" s="276">
        <v>0.05</v>
      </c>
      <c r="L396" s="277">
        <f t="shared" si="3"/>
        <v>99028</v>
      </c>
      <c r="M396" s="278">
        <f t="shared" si="4"/>
        <v>103979</v>
      </c>
    </row>
    <row r="397" spans="5:13" ht="15" customHeight="1" x14ac:dyDescent="0.3">
      <c r="E397" s="297"/>
      <c r="F397" s="280" t="s">
        <v>191</v>
      </c>
      <c r="G397" s="281"/>
      <c r="H397" s="299">
        <f>ROUND(((H196)*0.231)+((H202)*3.534)+((H214)*0.544)+((H222)*0.65)+((H236)*0.529)+((H242)*0.907)+((H263)*0.034),2)</f>
        <v>93.36</v>
      </c>
      <c r="I397" s="283" t="s">
        <v>190</v>
      </c>
      <c r="J397" s="284">
        <v>39.5</v>
      </c>
      <c r="K397" s="285">
        <v>0.05</v>
      </c>
      <c r="L397" s="286">
        <f t="shared" si="3"/>
        <v>3688</v>
      </c>
      <c r="M397" s="287">
        <f t="shared" si="4"/>
        <v>3872</v>
      </c>
    </row>
    <row r="398" spans="5:13" ht="15" customHeight="1" x14ac:dyDescent="0.3">
      <c r="E398" s="297"/>
      <c r="F398" s="300" t="s">
        <v>192</v>
      </c>
      <c r="G398" s="301"/>
      <c r="H398" s="302">
        <f>ROUND(((H23)*16.608)+((H49+H94)*9.452)+((H79)*15.018)+((H102)*0.629)+((H112+H191)*9.452)+((H161+H173)*15.018)+((H202)*1.767)+((H228)*0.629)+((H263)*0.148)+((H268)*0.293),2)</f>
        <v>282.45</v>
      </c>
      <c r="I398" s="303" t="s">
        <v>190</v>
      </c>
      <c r="J398" s="304">
        <v>48</v>
      </c>
      <c r="K398" s="305">
        <v>0.05</v>
      </c>
      <c r="L398" s="306">
        <f t="shared" si="3"/>
        <v>13558</v>
      </c>
      <c r="M398" s="307">
        <f t="shared" si="4"/>
        <v>14236</v>
      </c>
    </row>
    <row r="399" spans="5:13" ht="30" customHeight="1" x14ac:dyDescent="0.3">
      <c r="E399" s="297"/>
      <c r="F399" s="308" t="s">
        <v>193</v>
      </c>
      <c r="G399" s="309"/>
      <c r="H399" s="310">
        <f>ROUND(((H79)*9.894)+((H102)*0.314)+((H161+H173)*9.894)+((H228)*0.314)+((H263)*0.297)+((H268)*0.071),2)</f>
        <v>35.36</v>
      </c>
      <c r="I399" s="311" t="s">
        <v>190</v>
      </c>
      <c r="J399" s="312">
        <v>46</v>
      </c>
      <c r="K399" s="313">
        <v>0.05</v>
      </c>
      <c r="L399" s="314">
        <f t="shared" si="3"/>
        <v>1627</v>
      </c>
      <c r="M399" s="315">
        <f t="shared" si="4"/>
        <v>1708</v>
      </c>
    </row>
    <row r="400" spans="5:13" ht="30" customHeight="1" x14ac:dyDescent="0.3">
      <c r="E400" s="297"/>
      <c r="F400" s="316" t="s">
        <v>194</v>
      </c>
      <c r="G400" s="317"/>
      <c r="H400" s="318">
        <f>ROUND(((H23)*22.968)+((H268)*0.247),2)</f>
        <v>48.02</v>
      </c>
      <c r="I400" s="319" t="s">
        <v>190</v>
      </c>
      <c r="J400" s="320">
        <v>39</v>
      </c>
      <c r="K400" s="321">
        <v>0.05</v>
      </c>
      <c r="L400" s="322">
        <f t="shared" si="3"/>
        <v>1873</v>
      </c>
      <c r="M400" s="323">
        <f t="shared" si="4"/>
        <v>1967</v>
      </c>
    </row>
    <row r="401" spans="5:13" ht="30" customHeight="1" x14ac:dyDescent="0.3">
      <c r="E401" s="297"/>
      <c r="F401" s="289" t="s">
        <v>195</v>
      </c>
      <c r="G401" s="290"/>
      <c r="H401" s="291">
        <f>ROUND(((H23)*8.481)+((H79)*20.141)+((H102)*1.014)+((H161+H173)*20.141)+((H228)*1.014),2)</f>
        <v>86.43</v>
      </c>
      <c r="I401" s="292" t="s">
        <v>190</v>
      </c>
      <c r="J401" s="293">
        <v>45</v>
      </c>
      <c r="K401" s="294">
        <v>0.05</v>
      </c>
      <c r="L401" s="295">
        <f t="shared" si="3"/>
        <v>3889</v>
      </c>
      <c r="M401" s="296">
        <f t="shared" si="4"/>
        <v>4083</v>
      </c>
    </row>
    <row r="402" spans="5:13" ht="30" customHeight="1" x14ac:dyDescent="0.3">
      <c r="E402" s="297"/>
      <c r="F402" s="271" t="s">
        <v>196</v>
      </c>
      <c r="G402" s="272"/>
      <c r="H402" s="298">
        <f>ROUND(((H202)*3.534),2)</f>
        <v>22.9</v>
      </c>
      <c r="I402" s="274" t="s">
        <v>190</v>
      </c>
      <c r="J402" s="275">
        <v>30</v>
      </c>
      <c r="K402" s="276">
        <v>0.05</v>
      </c>
      <c r="L402" s="277">
        <f t="shared" si="3"/>
        <v>687</v>
      </c>
      <c r="M402" s="278">
        <f t="shared" si="4"/>
        <v>721</v>
      </c>
    </row>
    <row r="403" spans="5:13" ht="30" customHeight="1" x14ac:dyDescent="0.3">
      <c r="E403" s="297"/>
      <c r="F403" s="280" t="s">
        <v>197</v>
      </c>
      <c r="G403" s="281"/>
      <c r="H403" s="299">
        <f>ROUND(((H49+H94)*480)+((H112+H191)*480),2)</f>
        <v>9368.16</v>
      </c>
      <c r="I403" s="283" t="s">
        <v>4</v>
      </c>
      <c r="J403" s="284">
        <v>7.7</v>
      </c>
      <c r="K403" s="285">
        <v>0.12</v>
      </c>
      <c r="L403" s="286">
        <f t="shared" si="3"/>
        <v>72135</v>
      </c>
      <c r="M403" s="287">
        <f t="shared" si="4"/>
        <v>80791</v>
      </c>
    </row>
    <row r="404" spans="5:13" ht="30" customHeight="1" x14ac:dyDescent="0.3">
      <c r="E404" s="297"/>
      <c r="F404" s="300" t="s">
        <v>198</v>
      </c>
      <c r="G404" s="301"/>
      <c r="H404" s="302">
        <f>ROUND(((H247)*0.6),2)</f>
        <v>19.52</v>
      </c>
      <c r="I404" s="303" t="s">
        <v>73</v>
      </c>
      <c r="J404" s="304">
        <v>31</v>
      </c>
      <c r="K404" s="305">
        <v>0.18</v>
      </c>
      <c r="L404" s="306">
        <f t="shared" si="3"/>
        <v>605</v>
      </c>
      <c r="M404" s="307">
        <f t="shared" si="4"/>
        <v>714</v>
      </c>
    </row>
    <row r="405" spans="5:13" ht="30" customHeight="1" x14ac:dyDescent="0.3">
      <c r="E405" s="297"/>
      <c r="F405" s="308" t="s">
        <v>199</v>
      </c>
      <c r="G405" s="309"/>
      <c r="H405" s="310">
        <f>ROUND(((H87+H168)*10.764)+((H184)*10.764),2)</f>
        <v>201.24</v>
      </c>
      <c r="I405" s="311" t="s">
        <v>200</v>
      </c>
      <c r="J405" s="312">
        <v>36</v>
      </c>
      <c r="K405" s="313">
        <v>0.18</v>
      </c>
      <c r="L405" s="314">
        <f t="shared" si="3"/>
        <v>7245</v>
      </c>
      <c r="M405" s="315">
        <f t="shared" si="4"/>
        <v>8549</v>
      </c>
    </row>
    <row r="406" spans="5:13" ht="15" customHeight="1" x14ac:dyDescent="0.3">
      <c r="E406" s="297"/>
      <c r="F406" s="316" t="s">
        <v>201</v>
      </c>
      <c r="G406" s="317"/>
      <c r="H406" s="318">
        <f>ROUND(((H196)*38),2)</f>
        <v>240.92</v>
      </c>
      <c r="I406" s="319" t="s">
        <v>4</v>
      </c>
      <c r="J406" s="320">
        <v>6.8</v>
      </c>
      <c r="K406" s="321">
        <v>0.12</v>
      </c>
      <c r="L406" s="322">
        <f t="shared" si="3"/>
        <v>1638</v>
      </c>
      <c r="M406" s="323">
        <f t="shared" si="4"/>
        <v>1835</v>
      </c>
    </row>
    <row r="407" spans="5:13" ht="30" customHeight="1" x14ac:dyDescent="0.3">
      <c r="E407" s="297"/>
      <c r="F407" s="289" t="s">
        <v>202</v>
      </c>
      <c r="G407" s="290"/>
      <c r="H407" s="291">
        <f>ROUND(((H242)*11.044),2)</f>
        <v>71.569999999999993</v>
      </c>
      <c r="I407" s="292" t="s">
        <v>15</v>
      </c>
      <c r="J407" s="293">
        <v>60</v>
      </c>
      <c r="K407" s="294">
        <v>0.18</v>
      </c>
      <c r="L407" s="295">
        <f t="shared" si="3"/>
        <v>4294</v>
      </c>
      <c r="M407" s="296">
        <f t="shared" si="4"/>
        <v>5067</v>
      </c>
    </row>
    <row r="408" spans="5:13" ht="30" customHeight="1" x14ac:dyDescent="0.3">
      <c r="E408" s="297"/>
      <c r="F408" s="271" t="s">
        <v>203</v>
      </c>
      <c r="G408" s="272"/>
      <c r="H408" s="298">
        <f>ROUND(((H236)*11.044),2)</f>
        <v>437.84</v>
      </c>
      <c r="I408" s="274" t="s">
        <v>15</v>
      </c>
      <c r="J408" s="275">
        <v>48</v>
      </c>
      <c r="K408" s="276">
        <v>0.18</v>
      </c>
      <c r="L408" s="277">
        <f t="shared" si="3"/>
        <v>21016</v>
      </c>
      <c r="M408" s="278">
        <f t="shared" si="4"/>
        <v>24799</v>
      </c>
    </row>
    <row r="409" spans="5:13" ht="30" customHeight="1" x14ac:dyDescent="0.3">
      <c r="E409" s="324" t="s">
        <v>204</v>
      </c>
      <c r="F409" s="280" t="s">
        <v>205</v>
      </c>
      <c r="G409" s="281"/>
      <c r="H409" s="299">
        <f>ROUND(((H317)*0.061),2)</f>
        <v>0.95</v>
      </c>
      <c r="I409" s="283" t="s">
        <v>166</v>
      </c>
      <c r="J409" s="284">
        <v>300</v>
      </c>
      <c r="K409" s="285">
        <v>0.18</v>
      </c>
      <c r="L409" s="286">
        <f t="shared" si="3"/>
        <v>285</v>
      </c>
      <c r="M409" s="287">
        <f t="shared" si="4"/>
        <v>336</v>
      </c>
    </row>
    <row r="410" spans="5:13" ht="45" customHeight="1" x14ac:dyDescent="0.3">
      <c r="E410" s="297"/>
      <c r="F410" s="300" t="s">
        <v>206</v>
      </c>
      <c r="G410" s="301"/>
      <c r="H410" s="302">
        <f>ROUND(((H257)*0.364),2)</f>
        <v>14.45</v>
      </c>
      <c r="I410" s="303" t="s">
        <v>45</v>
      </c>
      <c r="J410" s="304">
        <v>35</v>
      </c>
      <c r="K410" s="305">
        <v>0.18</v>
      </c>
      <c r="L410" s="306">
        <f t="shared" si="3"/>
        <v>506</v>
      </c>
      <c r="M410" s="307">
        <f t="shared" si="4"/>
        <v>597</v>
      </c>
    </row>
    <row r="411" spans="5:13" ht="45" customHeight="1" x14ac:dyDescent="0.3">
      <c r="E411" s="297"/>
      <c r="F411" s="308" t="s">
        <v>207</v>
      </c>
      <c r="G411" s="309"/>
      <c r="H411" s="310">
        <f>ROUND(((H288)*10.764),2)</f>
        <v>52.5</v>
      </c>
      <c r="I411" s="311" t="s">
        <v>15</v>
      </c>
      <c r="J411" s="312">
        <v>220</v>
      </c>
      <c r="K411" s="313">
        <v>0.18</v>
      </c>
      <c r="L411" s="314">
        <f t="shared" si="3"/>
        <v>11550</v>
      </c>
      <c r="M411" s="315">
        <f t="shared" si="4"/>
        <v>13629</v>
      </c>
    </row>
    <row r="412" spans="5:13" ht="45" customHeight="1" x14ac:dyDescent="0.3">
      <c r="E412" s="297"/>
      <c r="F412" s="316" t="s">
        <v>208</v>
      </c>
      <c r="G412" s="317"/>
      <c r="H412" s="318">
        <f>ROUND(((H124)*3.28),2)</f>
        <v>67.48</v>
      </c>
      <c r="I412" s="319" t="s">
        <v>39</v>
      </c>
      <c r="J412" s="320">
        <v>145</v>
      </c>
      <c r="K412" s="321">
        <v>0.18</v>
      </c>
      <c r="L412" s="322">
        <f t="shared" si="3"/>
        <v>9785</v>
      </c>
      <c r="M412" s="323">
        <f t="shared" si="4"/>
        <v>11546</v>
      </c>
    </row>
    <row r="413" spans="5:13" ht="15" customHeight="1" x14ac:dyDescent="0.3">
      <c r="E413" s="297"/>
      <c r="F413" s="289" t="s">
        <v>209</v>
      </c>
      <c r="G413" s="290"/>
      <c r="H413" s="291">
        <f>ROUND(((H130)*1),2)</f>
        <v>88.88</v>
      </c>
      <c r="I413" s="292" t="s">
        <v>45</v>
      </c>
      <c r="J413" s="293">
        <v>85</v>
      </c>
      <c r="K413" s="294">
        <v>0.18</v>
      </c>
      <c r="L413" s="295">
        <f t="shared" si="3"/>
        <v>7555</v>
      </c>
      <c r="M413" s="296">
        <f t="shared" si="4"/>
        <v>8915</v>
      </c>
    </row>
    <row r="414" spans="5:13" ht="30" customHeight="1" x14ac:dyDescent="0.3">
      <c r="E414" s="297"/>
      <c r="F414" s="271" t="s">
        <v>210</v>
      </c>
      <c r="G414" s="272"/>
      <c r="H414" s="298">
        <f>ROUND(((H283)*1),2)</f>
        <v>1</v>
      </c>
      <c r="I414" s="274" t="s">
        <v>171</v>
      </c>
      <c r="J414" s="275"/>
      <c r="K414" s="276">
        <v>0.18</v>
      </c>
      <c r="L414" s="277">
        <f t="shared" si="3"/>
        <v>0</v>
      </c>
      <c r="M414" s="278">
        <f t="shared" si="4"/>
        <v>0</v>
      </c>
    </row>
    <row r="415" spans="5:13" ht="30" customHeight="1" x14ac:dyDescent="0.3">
      <c r="E415" s="297"/>
      <c r="F415" s="280" t="s">
        <v>211</v>
      </c>
      <c r="G415" s="281"/>
      <c r="H415" s="299">
        <f>ROUND(((H273)*1),2)</f>
        <v>15</v>
      </c>
      <c r="I415" s="283" t="s">
        <v>212</v>
      </c>
      <c r="J415" s="284"/>
      <c r="K415" s="285">
        <v>0.18</v>
      </c>
      <c r="L415" s="286">
        <f t="shared" si="3"/>
        <v>0</v>
      </c>
      <c r="M415" s="287">
        <f t="shared" si="4"/>
        <v>0</v>
      </c>
    </row>
    <row r="416" spans="5:13" ht="15" customHeight="1" x14ac:dyDescent="0.3">
      <c r="E416" s="297"/>
      <c r="F416" s="300" t="s">
        <v>213</v>
      </c>
      <c r="G416" s="301"/>
      <c r="H416" s="302">
        <f>ROUND(((H278)*1),2)</f>
        <v>1</v>
      </c>
      <c r="I416" s="303" t="s">
        <v>4</v>
      </c>
      <c r="J416" s="304"/>
      <c r="K416" s="305">
        <v>0.18</v>
      </c>
      <c r="L416" s="306">
        <f t="shared" si="3"/>
        <v>0</v>
      </c>
      <c r="M416" s="307">
        <f t="shared" si="4"/>
        <v>0</v>
      </c>
    </row>
    <row r="417" spans="5:13" ht="15" customHeight="1" x14ac:dyDescent="0.3">
      <c r="E417" s="297"/>
      <c r="F417" s="308" t="s">
        <v>214</v>
      </c>
      <c r="G417" s="309"/>
      <c r="H417" s="310">
        <f>ROUND(((H352)*3.281),2)</f>
        <v>80</v>
      </c>
      <c r="I417" s="311" t="s">
        <v>39</v>
      </c>
      <c r="J417" s="312">
        <v>26</v>
      </c>
      <c r="K417" s="313">
        <v>0.18</v>
      </c>
      <c r="L417" s="314">
        <f t="shared" si="3"/>
        <v>2080</v>
      </c>
      <c r="M417" s="315">
        <f t="shared" si="4"/>
        <v>2454</v>
      </c>
    </row>
    <row r="418" spans="5:13" ht="15" customHeight="1" x14ac:dyDescent="0.3">
      <c r="E418" s="297"/>
      <c r="F418" s="316" t="s">
        <v>215</v>
      </c>
      <c r="G418" s="317"/>
      <c r="H418" s="318">
        <f>ROUND(((H357)*3.281),2)</f>
        <v>164.05</v>
      </c>
      <c r="I418" s="319" t="s">
        <v>39</v>
      </c>
      <c r="J418" s="320"/>
      <c r="K418" s="321">
        <v>0.18</v>
      </c>
      <c r="L418" s="322">
        <f t="shared" si="3"/>
        <v>0</v>
      </c>
      <c r="M418" s="323">
        <f t="shared" si="4"/>
        <v>0</v>
      </c>
    </row>
    <row r="419" spans="5:13" ht="30" customHeight="1" x14ac:dyDescent="0.3">
      <c r="E419" s="297"/>
      <c r="F419" s="289" t="s">
        <v>216</v>
      </c>
      <c r="G419" s="290"/>
      <c r="H419" s="291">
        <f>ROUND(((H362)*1),2)</f>
        <v>500</v>
      </c>
      <c r="I419" s="292" t="s">
        <v>163</v>
      </c>
      <c r="J419" s="293">
        <v>11</v>
      </c>
      <c r="K419" s="294">
        <v>0.18</v>
      </c>
      <c r="L419" s="295">
        <f t="shared" si="3"/>
        <v>5500</v>
      </c>
      <c r="M419" s="296">
        <f t="shared" si="4"/>
        <v>6490</v>
      </c>
    </row>
    <row r="420" spans="5:13" ht="45" customHeight="1" x14ac:dyDescent="0.3">
      <c r="E420" s="297"/>
      <c r="F420" s="271" t="s">
        <v>217</v>
      </c>
      <c r="G420" s="272"/>
      <c r="H420" s="298">
        <f>ROUND(((H327)*1),2)</f>
        <v>2</v>
      </c>
      <c r="I420" s="274" t="s">
        <v>4</v>
      </c>
      <c r="J420" s="275">
        <v>1200</v>
      </c>
      <c r="K420" s="276">
        <v>0.18</v>
      </c>
      <c r="L420" s="277">
        <f t="shared" si="3"/>
        <v>2400</v>
      </c>
      <c r="M420" s="278">
        <f t="shared" si="4"/>
        <v>2832</v>
      </c>
    </row>
    <row r="421" spans="5:13" ht="15" customHeight="1" x14ac:dyDescent="0.3">
      <c r="E421" s="297"/>
      <c r="F421" s="280" t="s">
        <v>218</v>
      </c>
      <c r="G421" s="281"/>
      <c r="H421" s="299">
        <f>ROUND(((H196)*4.442),2)</f>
        <v>28.16</v>
      </c>
      <c r="I421" s="283" t="s">
        <v>190</v>
      </c>
      <c r="J421" s="284">
        <v>20</v>
      </c>
      <c r="K421" s="285">
        <v>0.05</v>
      </c>
      <c r="L421" s="286">
        <f t="shared" si="3"/>
        <v>563</v>
      </c>
      <c r="M421" s="287">
        <f t="shared" si="4"/>
        <v>591</v>
      </c>
    </row>
    <row r="422" spans="5:13" ht="15" customHeight="1" x14ac:dyDescent="0.3">
      <c r="E422" s="279"/>
      <c r="F422" s="300" t="s">
        <v>219</v>
      </c>
      <c r="G422" s="301"/>
      <c r="H422" s="302">
        <f>ROUND(((H196)*0.929),2)</f>
        <v>5.89</v>
      </c>
      <c r="I422" s="303" t="s">
        <v>190</v>
      </c>
      <c r="J422" s="304">
        <v>20</v>
      </c>
      <c r="K422" s="305">
        <v>0.05</v>
      </c>
      <c r="L422" s="306">
        <f t="shared" si="3"/>
        <v>118</v>
      </c>
      <c r="M422" s="307">
        <f t="shared" si="4"/>
        <v>124</v>
      </c>
    </row>
    <row r="423" spans="5:13" ht="30" customHeight="1" x14ac:dyDescent="0.3">
      <c r="E423" s="288"/>
      <c r="F423" s="325" t="s">
        <v>220</v>
      </c>
      <c r="G423" s="309"/>
      <c r="H423" s="326">
        <f>ROUND(SUM(H16),2)</f>
        <v>20.07</v>
      </c>
      <c r="I423" s="311" t="str">
        <f>I16</f>
        <v>cum</v>
      </c>
      <c r="J423" s="312">
        <v>0</v>
      </c>
      <c r="K423" s="313"/>
      <c r="L423" s="314">
        <f t="shared" si="3"/>
        <v>0</v>
      </c>
      <c r="M423" s="315">
        <f t="shared" si="4"/>
        <v>0</v>
      </c>
    </row>
    <row r="424" spans="5:13" ht="45" customHeight="1" x14ac:dyDescent="0.3">
      <c r="E424" s="297"/>
      <c r="F424" s="327" t="s">
        <v>221</v>
      </c>
      <c r="G424" s="317"/>
      <c r="H424" s="328">
        <f>ROUND(SUM(H117),2)</f>
        <v>6.69</v>
      </c>
      <c r="I424" s="319" t="str">
        <f>I117</f>
        <v>Sqm</v>
      </c>
      <c r="J424" s="320">
        <v>0</v>
      </c>
      <c r="K424" s="321"/>
      <c r="L424" s="322">
        <f t="shared" si="3"/>
        <v>0</v>
      </c>
      <c r="M424" s="323">
        <f t="shared" si="4"/>
        <v>0</v>
      </c>
    </row>
    <row r="425" spans="5:13" ht="30" customHeight="1" x14ac:dyDescent="0.3">
      <c r="E425" s="297"/>
      <c r="F425" s="329" t="s">
        <v>222</v>
      </c>
      <c r="G425" s="290"/>
      <c r="H425" s="330">
        <f>ROUND(SUM(H293),2)</f>
        <v>3</v>
      </c>
      <c r="I425" s="292" t="str">
        <f>I293</f>
        <v>Each</v>
      </c>
      <c r="J425" s="293">
        <v>0</v>
      </c>
      <c r="K425" s="294"/>
      <c r="L425" s="295">
        <f t="shared" si="3"/>
        <v>0</v>
      </c>
      <c r="M425" s="296">
        <f t="shared" si="4"/>
        <v>0</v>
      </c>
    </row>
    <row r="426" spans="5:13" ht="30" customHeight="1" x14ac:dyDescent="0.3">
      <c r="E426" s="297"/>
      <c r="F426" s="331" t="s">
        <v>223</v>
      </c>
      <c r="G426" s="272"/>
      <c r="H426" s="273">
        <f>ROUND(SUM(H298),2)</f>
        <v>6</v>
      </c>
      <c r="I426" s="274" t="str">
        <f>I298</f>
        <v>Each</v>
      </c>
      <c r="J426" s="275">
        <v>0</v>
      </c>
      <c r="K426" s="276"/>
      <c r="L426" s="277">
        <f t="shared" si="3"/>
        <v>0</v>
      </c>
      <c r="M426" s="278">
        <f t="shared" si="4"/>
        <v>0</v>
      </c>
    </row>
    <row r="427" spans="5:13" ht="60" customHeight="1" x14ac:dyDescent="0.3">
      <c r="E427" s="297"/>
      <c r="F427" s="332" t="s">
        <v>224</v>
      </c>
      <c r="G427" s="281"/>
      <c r="H427" s="282">
        <f>ROUND(SUM(H303+H307),2)</f>
        <v>20.48</v>
      </c>
      <c r="I427" s="283" t="str">
        <f>I303</f>
        <v>Sqm</v>
      </c>
      <c r="J427" s="284">
        <v>0</v>
      </c>
      <c r="K427" s="285"/>
      <c r="L427" s="286">
        <f t="shared" si="3"/>
        <v>0</v>
      </c>
      <c r="M427" s="287">
        <f t="shared" si="4"/>
        <v>0</v>
      </c>
    </row>
    <row r="428" spans="5:13" ht="60" customHeight="1" x14ac:dyDescent="0.3">
      <c r="E428" s="297"/>
      <c r="F428" s="333" t="s">
        <v>225</v>
      </c>
      <c r="G428" s="301"/>
      <c r="H428" s="334">
        <f>ROUND(SUM(H312),2)</f>
        <v>15.61</v>
      </c>
      <c r="I428" s="303" t="str">
        <f>I312</f>
        <v>Sqm</v>
      </c>
      <c r="J428" s="304">
        <v>0</v>
      </c>
      <c r="K428" s="305"/>
      <c r="L428" s="306">
        <f t="shared" si="3"/>
        <v>0</v>
      </c>
      <c r="M428" s="307">
        <f t="shared" si="4"/>
        <v>0</v>
      </c>
    </row>
    <row r="429" spans="5:13" ht="60" customHeight="1" x14ac:dyDescent="0.3">
      <c r="E429" s="335" t="s">
        <v>226</v>
      </c>
      <c r="F429" s="325" t="s">
        <v>227</v>
      </c>
      <c r="G429" s="309"/>
      <c r="H429" s="326">
        <f>ROUND(SUM(H322),2)</f>
        <v>1</v>
      </c>
      <c r="I429" s="311" t="str">
        <f>I322</f>
        <v>Each</v>
      </c>
      <c r="J429" s="312">
        <v>0</v>
      </c>
      <c r="K429" s="313"/>
      <c r="L429" s="314">
        <f t="shared" si="3"/>
        <v>0</v>
      </c>
      <c r="M429" s="315">
        <f t="shared" si="4"/>
        <v>0</v>
      </c>
    </row>
    <row r="430" spans="5:13" ht="60" customHeight="1" x14ac:dyDescent="0.3">
      <c r="E430" s="297"/>
      <c r="F430" s="327" t="s">
        <v>228</v>
      </c>
      <c r="G430" s="317"/>
      <c r="H430" s="328">
        <f>ROUND(SUM(H332),2)</f>
        <v>1</v>
      </c>
      <c r="I430" s="319" t="str">
        <f>I332</f>
        <v>Each</v>
      </c>
      <c r="J430" s="320">
        <v>0</v>
      </c>
      <c r="K430" s="321"/>
      <c r="L430" s="322">
        <f t="shared" si="3"/>
        <v>0</v>
      </c>
      <c r="M430" s="323">
        <f t="shared" si="4"/>
        <v>0</v>
      </c>
    </row>
    <row r="431" spans="5:13" ht="60" customHeight="1" x14ac:dyDescent="0.3">
      <c r="E431" s="297"/>
      <c r="F431" s="329" t="s">
        <v>229</v>
      </c>
      <c r="G431" s="290"/>
      <c r="H431" s="330">
        <f>ROUND(SUM(H337),2)</f>
        <v>1</v>
      </c>
      <c r="I431" s="292" t="str">
        <f>I337</f>
        <v>Each</v>
      </c>
      <c r="J431" s="293">
        <v>0</v>
      </c>
      <c r="K431" s="294"/>
      <c r="L431" s="295">
        <f t="shared" si="3"/>
        <v>0</v>
      </c>
      <c r="M431" s="296">
        <f t="shared" si="4"/>
        <v>0</v>
      </c>
    </row>
    <row r="432" spans="5:13" ht="60" customHeight="1" x14ac:dyDescent="0.3">
      <c r="E432" s="297"/>
      <c r="F432" s="331" t="s">
        <v>230</v>
      </c>
      <c r="G432" s="272"/>
      <c r="H432" s="273">
        <f>ROUND(SUM(H342),2)</f>
        <v>2</v>
      </c>
      <c r="I432" s="274" t="str">
        <f>I342</f>
        <v>Each</v>
      </c>
      <c r="J432" s="275">
        <v>0</v>
      </c>
      <c r="K432" s="276"/>
      <c r="L432" s="277">
        <f t="shared" si="3"/>
        <v>0</v>
      </c>
      <c r="M432" s="278">
        <f t="shared" si="4"/>
        <v>0</v>
      </c>
    </row>
    <row r="433" spans="5:13" ht="45" customHeight="1" x14ac:dyDescent="0.3">
      <c r="E433" s="297"/>
      <c r="F433" s="332" t="s">
        <v>231</v>
      </c>
      <c r="G433" s="281"/>
      <c r="H433" s="282">
        <f>ROUND(SUM(H347),2)</f>
        <v>4</v>
      </c>
      <c r="I433" s="283" t="str">
        <f>I347</f>
        <v>Each</v>
      </c>
      <c r="J433" s="284">
        <v>0</v>
      </c>
      <c r="K433" s="285"/>
      <c r="L433" s="286">
        <f t="shared" si="3"/>
        <v>0</v>
      </c>
      <c r="M433" s="287">
        <f t="shared" si="4"/>
        <v>0</v>
      </c>
    </row>
    <row r="434" spans="5:13" ht="60" customHeight="1" x14ac:dyDescent="0.3">
      <c r="E434" s="297"/>
      <c r="F434" s="333" t="s">
        <v>232</v>
      </c>
      <c r="G434" s="301"/>
      <c r="H434" s="334">
        <f>ROUND(SUM(H367),2)</f>
        <v>40</v>
      </c>
      <c r="I434" s="303" t="str">
        <f>I367</f>
        <v>Metre</v>
      </c>
      <c r="J434" s="304">
        <v>0</v>
      </c>
      <c r="K434" s="305"/>
      <c r="L434" s="306">
        <f t="shared" si="3"/>
        <v>0</v>
      </c>
      <c r="M434" s="307">
        <f t="shared" si="4"/>
        <v>0</v>
      </c>
    </row>
    <row r="435" spans="5:13" ht="30" customHeight="1" x14ac:dyDescent="0.3">
      <c r="E435" s="279"/>
      <c r="F435" s="325" t="s">
        <v>233</v>
      </c>
      <c r="G435" s="309"/>
      <c r="H435" s="326">
        <f>ROUND(SUM(H372),2)</f>
        <v>3</v>
      </c>
      <c r="I435" s="311" t="str">
        <f>I372</f>
        <v>Each</v>
      </c>
      <c r="J435" s="312">
        <v>0</v>
      </c>
      <c r="K435" s="313"/>
      <c r="L435" s="314">
        <f t="shared" si="3"/>
        <v>0</v>
      </c>
      <c r="M435" s="315">
        <f t="shared" si="4"/>
        <v>0</v>
      </c>
    </row>
    <row r="436" spans="5:13" ht="17.399999999999999" x14ac:dyDescent="0.3">
      <c r="E436"/>
      <c r="F436" s="336" t="s">
        <v>234</v>
      </c>
      <c r="G436" s="337"/>
      <c r="H436" s="337"/>
      <c r="I436" s="337"/>
      <c r="J436" s="337"/>
      <c r="K436" s="337"/>
      <c r="L436" s="338">
        <f>ROUND(SUM(L$393:INDEX(L:L,ROW()-1)),0)</f>
        <v>306131</v>
      </c>
      <c r="M436" s="339">
        <f>ROUND(SUM(M$393:INDEX(M:M,ROW()-1)),0)</f>
        <v>342698</v>
      </c>
    </row>
    <row r="437" spans="5:13" ht="18" x14ac:dyDescent="0.3">
      <c r="E437"/>
      <c r="F437" s="340" t="s">
        <v>235</v>
      </c>
      <c r="G437" s="341"/>
      <c r="H437" s="341"/>
      <c r="I437" s="341"/>
      <c r="J437" s="341"/>
      <c r="K437" s="341"/>
      <c r="L437" s="342">
        <f>ROUND(L374,0)</f>
        <v>385976</v>
      </c>
      <c r="M437" s="343">
        <f>ROUND(L376,0)</f>
        <v>455452</v>
      </c>
    </row>
    <row r="438" spans="5:13" ht="18" thickBot="1" x14ac:dyDescent="0.35">
      <c r="E438"/>
      <c r="F438" s="344" t="s">
        <v>236</v>
      </c>
      <c r="G438" s="345"/>
      <c r="H438" s="345"/>
      <c r="I438" s="345"/>
      <c r="J438" s="345"/>
      <c r="K438" s="345"/>
      <c r="L438" s="346">
        <f>ROUND(SUM(L$436:INDEX(L:L,ROW()-1)),0)</f>
        <v>692107</v>
      </c>
      <c r="M438" s="347">
        <f>ROUND(SUM(M$436:INDEX(M:M,ROW()-1)),0)</f>
        <v>798150</v>
      </c>
    </row>
    <row r="439" spans="5:13" ht="18" x14ac:dyDescent="0.3">
      <c r="E439"/>
      <c r="F439" s="348"/>
      <c r="G439" s="348"/>
      <c r="H439" s="348"/>
      <c r="I439" s="349" t="s">
        <v>237</v>
      </c>
      <c r="J439" s="349"/>
      <c r="K439" s="349"/>
      <c r="L439" s="350" t="str">
        <f>IF(M438&gt;=10000000,ROUND(M438/10000000,2)&amp;" Crore",IF(M438&gt;=100000,ROUND(M438/100000,2)&amp;" Lakh",IF(M438&gt;=1000,ROUND(M438/1000,2)&amp;" Thousand",ROUND(M438,0)))) &amp; " Only"</f>
        <v>7.98 Lakh Only</v>
      </c>
      <c r="M439" s="350"/>
    </row>
    <row r="440" spans="5:13" x14ac:dyDescent="0.3">
      <c r="E440"/>
      <c r="F440"/>
      <c r="G440"/>
      <c r="H440"/>
      <c r="I440"/>
      <c r="J440"/>
      <c r="K440"/>
      <c r="L440"/>
      <c r="M440"/>
    </row>
    <row r="441" spans="5:13" hidden="1" x14ac:dyDescent="0.3">
      <c r="E441"/>
      <c r="F441"/>
      <c r="G441"/>
      <c r="H441"/>
      <c r="I441"/>
      <c r="J441"/>
      <c r="K441"/>
      <c r="L441"/>
      <c r="M441"/>
    </row>
    <row r="442" spans="5:13" hidden="1" x14ac:dyDescent="0.3">
      <c r="E442"/>
      <c r="F442"/>
      <c r="G442"/>
      <c r="H442"/>
      <c r="I442"/>
      <c r="J442"/>
      <c r="K442"/>
      <c r="L442"/>
      <c r="M442"/>
    </row>
    <row r="443" spans="5:13" hidden="1" x14ac:dyDescent="0.3">
      <c r="E443"/>
      <c r="F443"/>
      <c r="G443"/>
      <c r="H443"/>
      <c r="I443"/>
      <c r="J443"/>
      <c r="K443"/>
      <c r="L443"/>
      <c r="M443"/>
    </row>
    <row r="444" spans="5:13" hidden="1" x14ac:dyDescent="0.3">
      <c r="E444"/>
      <c r="F444"/>
      <c r="G444"/>
      <c r="H444"/>
      <c r="I444"/>
      <c r="J444"/>
      <c r="K444"/>
      <c r="L444"/>
      <c r="M444"/>
    </row>
    <row r="445" spans="5:13" hidden="1" x14ac:dyDescent="0.3">
      <c r="E445"/>
      <c r="F445"/>
      <c r="G445"/>
      <c r="H445"/>
      <c r="I445"/>
      <c r="J445"/>
      <c r="K445"/>
      <c r="L445"/>
      <c r="M445"/>
    </row>
    <row r="446" spans="5:13" hidden="1" x14ac:dyDescent="0.3">
      <c r="E446"/>
      <c r="F446"/>
      <c r="G446"/>
      <c r="H446"/>
      <c r="I446"/>
      <c r="J446"/>
      <c r="K446"/>
      <c r="L446"/>
      <c r="M446"/>
    </row>
    <row r="447" spans="5:13" hidden="1" x14ac:dyDescent="0.3">
      <c r="E447"/>
      <c r="F447"/>
      <c r="G447"/>
      <c r="H447"/>
      <c r="I447"/>
      <c r="J447"/>
      <c r="K447"/>
      <c r="L447"/>
      <c r="M447"/>
    </row>
    <row r="448" spans="5:13" hidden="1" x14ac:dyDescent="0.3">
      <c r="E448"/>
      <c r="F448"/>
      <c r="G448"/>
      <c r="H448"/>
      <c r="I448"/>
      <c r="J448"/>
      <c r="K448"/>
      <c r="L448"/>
      <c r="M448"/>
    </row>
    <row r="449" spans="5:13" hidden="1" x14ac:dyDescent="0.3">
      <c r="E449"/>
      <c r="F449"/>
      <c r="G449"/>
      <c r="H449"/>
      <c r="I449"/>
      <c r="J449"/>
      <c r="K449"/>
      <c r="L449"/>
      <c r="M449"/>
    </row>
    <row r="450" spans="5:13" ht="15.6" hidden="1" customHeight="1" x14ac:dyDescent="0.3">
      <c r="E450"/>
      <c r="F450"/>
      <c r="G450"/>
      <c r="H450"/>
      <c r="I450"/>
      <c r="J450"/>
      <c r="K450"/>
      <c r="L450"/>
      <c r="M450"/>
    </row>
    <row r="451" spans="5:13" ht="15.6" hidden="1" customHeight="1" x14ac:dyDescent="0.3">
      <c r="E451"/>
      <c r="F451"/>
      <c r="G451"/>
      <c r="H451"/>
      <c r="I451"/>
      <c r="J451"/>
      <c r="K451"/>
      <c r="L451"/>
      <c r="M451"/>
    </row>
    <row r="452" spans="5:13" ht="15.6" hidden="1" customHeight="1" x14ac:dyDescent="0.3">
      <c r="E452"/>
      <c r="F452"/>
      <c r="G452"/>
      <c r="H452"/>
      <c r="I452"/>
      <c r="J452"/>
      <c r="K452"/>
      <c r="L452"/>
      <c r="M452"/>
    </row>
    <row r="453" spans="5:13" ht="15.6" hidden="1" customHeight="1" x14ac:dyDescent="0.3">
      <c r="E453"/>
      <c r="F453"/>
      <c r="G453"/>
      <c r="H453"/>
      <c r="I453"/>
      <c r="J453"/>
      <c r="K453"/>
      <c r="L453"/>
      <c r="M453"/>
    </row>
    <row r="454" spans="5:13" ht="15.6" hidden="1" customHeight="1" x14ac:dyDescent="0.3">
      <c r="E454"/>
      <c r="F454"/>
      <c r="G454"/>
      <c r="H454"/>
      <c r="I454"/>
      <c r="J454"/>
      <c r="K454"/>
      <c r="L454"/>
      <c r="M454"/>
    </row>
    <row r="455" spans="5:13" ht="15.6" hidden="1" customHeight="1" x14ac:dyDescent="0.3">
      <c r="E455"/>
      <c r="F455"/>
      <c r="G455"/>
      <c r="H455"/>
      <c r="I455"/>
      <c r="J455"/>
      <c r="K455"/>
      <c r="L455"/>
      <c r="M455"/>
    </row>
    <row r="456" spans="5:13" ht="15.6" hidden="1" customHeight="1" x14ac:dyDescent="0.3">
      <c r="E456"/>
      <c r="F456"/>
      <c r="G456"/>
      <c r="H456"/>
      <c r="I456"/>
      <c r="J456"/>
      <c r="K456"/>
      <c r="L456"/>
      <c r="M456"/>
    </row>
    <row r="457" spans="5:13" ht="15.6" hidden="1" customHeight="1" x14ac:dyDescent="0.3">
      <c r="E457"/>
      <c r="F457"/>
      <c r="G457"/>
      <c r="H457"/>
      <c r="I457"/>
      <c r="J457"/>
      <c r="K457"/>
      <c r="L457"/>
      <c r="M457"/>
    </row>
    <row r="458" spans="5:13" ht="15.6" hidden="1" customHeight="1" x14ac:dyDescent="0.3">
      <c r="E458"/>
      <c r="F458"/>
      <c r="G458"/>
      <c r="H458"/>
      <c r="I458"/>
      <c r="J458"/>
      <c r="K458"/>
      <c r="L458"/>
      <c r="M458"/>
    </row>
    <row r="459" spans="5:13" ht="15.6" hidden="1" customHeight="1" x14ac:dyDescent="0.3">
      <c r="E459"/>
      <c r="F459"/>
      <c r="G459"/>
      <c r="H459"/>
      <c r="I459"/>
      <c r="J459"/>
      <c r="K459"/>
      <c r="L459"/>
      <c r="M459"/>
    </row>
    <row r="460" spans="5:13" ht="15.6" hidden="1" customHeight="1" x14ac:dyDescent="0.3">
      <c r="E460"/>
      <c r="F460"/>
      <c r="G460"/>
      <c r="H460"/>
      <c r="I460"/>
      <c r="J460"/>
      <c r="K460"/>
      <c r="L460"/>
      <c r="M460"/>
    </row>
    <row r="461" spans="5:13" ht="15.6" hidden="1" customHeight="1" x14ac:dyDescent="0.3">
      <c r="E461"/>
      <c r="F461"/>
      <c r="G461"/>
      <c r="H461"/>
      <c r="I461"/>
      <c r="J461"/>
      <c r="K461"/>
      <c r="L461"/>
      <c r="M461"/>
    </row>
    <row r="462" spans="5:13" ht="15.6" hidden="1" customHeight="1" x14ac:dyDescent="0.3">
      <c r="E462"/>
      <c r="F462"/>
      <c r="G462"/>
      <c r="H462"/>
      <c r="I462"/>
      <c r="J462"/>
      <c r="K462"/>
      <c r="L462"/>
      <c r="M462"/>
    </row>
    <row r="463" spans="5:13" ht="15.6" hidden="1" customHeight="1" x14ac:dyDescent="0.3">
      <c r="E463"/>
      <c r="F463"/>
      <c r="G463"/>
      <c r="H463"/>
      <c r="I463"/>
      <c r="J463"/>
      <c r="K463"/>
      <c r="L463"/>
      <c r="M463"/>
    </row>
    <row r="464" spans="5:13" ht="15.6" hidden="1" customHeight="1" x14ac:dyDescent="0.3">
      <c r="E464"/>
      <c r="F464"/>
      <c r="G464"/>
      <c r="H464"/>
      <c r="I464"/>
      <c r="J464"/>
      <c r="K464"/>
      <c r="L464"/>
      <c r="M464"/>
    </row>
    <row r="465" spans="5:13" ht="15.6" hidden="1" customHeight="1" x14ac:dyDescent="0.3">
      <c r="E465"/>
      <c r="F465"/>
      <c r="G465"/>
      <c r="H465"/>
      <c r="I465"/>
      <c r="J465"/>
      <c r="K465"/>
      <c r="L465"/>
      <c r="M465"/>
    </row>
    <row r="466" spans="5:13" ht="15.6" hidden="1" customHeight="1" x14ac:dyDescent="0.3">
      <c r="E466"/>
      <c r="F466"/>
      <c r="G466"/>
      <c r="H466"/>
      <c r="I466"/>
      <c r="J466"/>
      <c r="K466"/>
      <c r="L466"/>
      <c r="M466"/>
    </row>
    <row r="467" spans="5:13" ht="15.6" hidden="1" customHeight="1" x14ac:dyDescent="0.3">
      <c r="E467"/>
      <c r="F467"/>
      <c r="G467"/>
      <c r="H467"/>
      <c r="I467"/>
      <c r="J467"/>
      <c r="K467"/>
      <c r="L467"/>
      <c r="M467"/>
    </row>
    <row r="468" spans="5:13" ht="15.6" hidden="1" customHeight="1" x14ac:dyDescent="0.3">
      <c r="E468"/>
      <c r="F468"/>
      <c r="G468"/>
      <c r="H468"/>
      <c r="I468"/>
      <c r="J468"/>
      <c r="K468"/>
      <c r="L468"/>
      <c r="M468"/>
    </row>
    <row r="469" spans="5:13" ht="15.6" hidden="1" customHeight="1" x14ac:dyDescent="0.3">
      <c r="E469"/>
      <c r="F469"/>
      <c r="G469"/>
      <c r="H469"/>
      <c r="I469"/>
      <c r="J469"/>
      <c r="K469"/>
      <c r="L469"/>
      <c r="M469"/>
    </row>
    <row r="470" spans="5:13" ht="15.6" hidden="1" customHeight="1" x14ac:dyDescent="0.3">
      <c r="E470"/>
      <c r="F470"/>
      <c r="G470"/>
      <c r="H470"/>
      <c r="I470"/>
      <c r="J470"/>
      <c r="K470"/>
      <c r="L470"/>
      <c r="M470"/>
    </row>
    <row r="471" spans="5:13" ht="15.6" hidden="1" customHeight="1" x14ac:dyDescent="0.3">
      <c r="E471"/>
      <c r="F471"/>
      <c r="G471"/>
      <c r="H471"/>
      <c r="I471"/>
      <c r="J471"/>
      <c r="K471"/>
      <c r="L471"/>
      <c r="M471"/>
    </row>
    <row r="472" spans="5:13" ht="15.6" hidden="1" customHeight="1" x14ac:dyDescent="0.3">
      <c r="E472"/>
      <c r="F472"/>
      <c r="G472"/>
      <c r="H472"/>
      <c r="I472"/>
      <c r="J472"/>
      <c r="K472"/>
      <c r="L472"/>
      <c r="M472"/>
    </row>
    <row r="473" spans="5:13" ht="15.6" hidden="1" customHeight="1" x14ac:dyDescent="0.3">
      <c r="E473"/>
      <c r="F473"/>
      <c r="G473"/>
      <c r="H473"/>
      <c r="I473"/>
      <c r="J473"/>
      <c r="K473"/>
      <c r="L473"/>
      <c r="M473"/>
    </row>
    <row r="474" spans="5:13" ht="15.6" hidden="1" customHeight="1" x14ac:dyDescent="0.3">
      <c r="E474"/>
      <c r="F474"/>
      <c r="G474"/>
      <c r="H474"/>
      <c r="I474"/>
      <c r="J474"/>
      <c r="K474"/>
      <c r="L474"/>
      <c r="M474"/>
    </row>
    <row r="475" spans="5:13" ht="15.6" hidden="1" customHeight="1" x14ac:dyDescent="0.3">
      <c r="E475"/>
      <c r="F475"/>
      <c r="G475"/>
      <c r="H475"/>
      <c r="I475"/>
      <c r="J475"/>
      <c r="K475"/>
      <c r="L475"/>
      <c r="M475"/>
    </row>
    <row r="476" spans="5:13" ht="15.6" hidden="1" customHeight="1" x14ac:dyDescent="0.3">
      <c r="E476"/>
      <c r="F476"/>
      <c r="G476"/>
      <c r="H476"/>
      <c r="I476"/>
      <c r="J476"/>
      <c r="K476"/>
      <c r="L476"/>
      <c r="M476"/>
    </row>
    <row r="477" spans="5:13" ht="15.6" hidden="1" customHeight="1" x14ac:dyDescent="0.3">
      <c r="E477"/>
      <c r="F477"/>
      <c r="G477"/>
      <c r="H477"/>
      <c r="I477"/>
      <c r="J477"/>
      <c r="K477"/>
      <c r="L477"/>
      <c r="M477"/>
    </row>
    <row r="478" spans="5:13" ht="15.6" hidden="1" customHeight="1" x14ac:dyDescent="0.3">
      <c r="E478"/>
      <c r="F478"/>
      <c r="G478"/>
      <c r="H478"/>
      <c r="I478"/>
      <c r="J478"/>
      <c r="K478"/>
      <c r="L478"/>
      <c r="M478"/>
    </row>
    <row r="479" spans="5:13" ht="15.6" hidden="1" customHeight="1" x14ac:dyDescent="0.3">
      <c r="E479"/>
      <c r="F479"/>
      <c r="G479"/>
      <c r="H479"/>
      <c r="I479"/>
      <c r="J479"/>
      <c r="K479"/>
      <c r="L479"/>
      <c r="M479"/>
    </row>
    <row r="480" spans="5:13" ht="15.6" hidden="1" customHeight="1" x14ac:dyDescent="0.3">
      <c r="E480"/>
      <c r="F480"/>
      <c r="G480"/>
      <c r="H480"/>
      <c r="I480"/>
      <c r="J480"/>
      <c r="K480"/>
      <c r="L480"/>
      <c r="M480"/>
    </row>
    <row r="481" spans="5:13" ht="15.6" hidden="1" customHeight="1" x14ac:dyDescent="0.3">
      <c r="E481"/>
      <c r="F481"/>
      <c r="G481"/>
      <c r="H481"/>
      <c r="I481"/>
      <c r="J481"/>
      <c r="K481"/>
      <c r="L481"/>
      <c r="M481"/>
    </row>
    <row r="482" spans="5:13" ht="15.6" hidden="1" customHeight="1" x14ac:dyDescent="0.3">
      <c r="E482"/>
      <c r="F482"/>
      <c r="G482"/>
      <c r="H482"/>
      <c r="I482"/>
      <c r="J482"/>
      <c r="K482"/>
      <c r="L482"/>
      <c r="M482"/>
    </row>
    <row r="483" spans="5:13" ht="15.6" hidden="1" customHeight="1" x14ac:dyDescent="0.3">
      <c r="E483"/>
      <c r="F483"/>
      <c r="G483"/>
      <c r="H483"/>
      <c r="I483"/>
      <c r="J483"/>
      <c r="K483"/>
      <c r="L483"/>
      <c r="M483"/>
    </row>
    <row r="484" spans="5:13" ht="15.6" hidden="1" customHeight="1" x14ac:dyDescent="0.3">
      <c r="E484"/>
      <c r="F484"/>
      <c r="G484"/>
      <c r="H484"/>
      <c r="I484"/>
      <c r="J484"/>
      <c r="K484"/>
      <c r="L484"/>
      <c r="M484"/>
    </row>
    <row r="485" spans="5:13" ht="15.6" hidden="1" customHeight="1" x14ac:dyDescent="0.3">
      <c r="E485"/>
      <c r="F485"/>
      <c r="G485"/>
      <c r="H485"/>
      <c r="I485"/>
      <c r="J485"/>
      <c r="K485"/>
      <c r="L485"/>
      <c r="M485"/>
    </row>
    <row r="486" spans="5:13" ht="15.6" hidden="1" customHeight="1" x14ac:dyDescent="0.3">
      <c r="E486"/>
      <c r="F486"/>
      <c r="G486"/>
      <c r="H486"/>
      <c r="I486"/>
      <c r="J486"/>
      <c r="K486"/>
      <c r="L486"/>
      <c r="M486"/>
    </row>
    <row r="487" spans="5:13" ht="15.6" hidden="1" customHeight="1" x14ac:dyDescent="0.3">
      <c r="E487"/>
      <c r="F487"/>
      <c r="G487"/>
      <c r="H487"/>
      <c r="I487"/>
      <c r="J487"/>
      <c r="K487"/>
      <c r="L487"/>
      <c r="M487"/>
    </row>
    <row r="488" spans="5:13" ht="15.6" hidden="1" customHeight="1" x14ac:dyDescent="0.3">
      <c r="E488"/>
      <c r="F488"/>
      <c r="G488"/>
      <c r="H488"/>
      <c r="I488"/>
      <c r="J488"/>
      <c r="K488"/>
      <c r="L488"/>
      <c r="M488"/>
    </row>
    <row r="489" spans="5:13" ht="15.6" hidden="1" customHeight="1" x14ac:dyDescent="0.3">
      <c r="E489"/>
      <c r="F489"/>
      <c r="G489"/>
      <c r="H489"/>
      <c r="I489"/>
      <c r="J489"/>
      <c r="K489"/>
      <c r="L489"/>
      <c r="M489"/>
    </row>
    <row r="490" spans="5:13" ht="15.6" hidden="1" customHeight="1" x14ac:dyDescent="0.3">
      <c r="E490"/>
      <c r="F490"/>
      <c r="G490"/>
      <c r="H490"/>
      <c r="I490"/>
      <c r="J490"/>
      <c r="K490"/>
      <c r="L490"/>
      <c r="M490"/>
    </row>
    <row r="491" spans="5:13" ht="15.6" hidden="1" customHeight="1" x14ac:dyDescent="0.3">
      <c r="E491"/>
      <c r="F491"/>
      <c r="G491"/>
      <c r="H491"/>
      <c r="I491"/>
      <c r="J491"/>
      <c r="K491"/>
      <c r="L491"/>
      <c r="M491"/>
    </row>
    <row r="492" spans="5:13" ht="15.6" hidden="1" customHeight="1" x14ac:dyDescent="0.3">
      <c r="E492"/>
      <c r="F492"/>
      <c r="G492"/>
      <c r="H492"/>
      <c r="I492"/>
      <c r="J492"/>
      <c r="K492"/>
      <c r="L492"/>
      <c r="M492"/>
    </row>
  </sheetData>
  <mergeCells count="162">
    <mergeCell ref="F430:G430"/>
    <mergeCell ref="F431:G431"/>
    <mergeCell ref="F432:G432"/>
    <mergeCell ref="F433:G433"/>
    <mergeCell ref="F434:G434"/>
    <mergeCell ref="F435:G435"/>
    <mergeCell ref="F424:G424"/>
    <mergeCell ref="F425:G425"/>
    <mergeCell ref="F426:G426"/>
    <mergeCell ref="F427:G427"/>
    <mergeCell ref="F428:G428"/>
    <mergeCell ref="F429:G429"/>
    <mergeCell ref="F418:G418"/>
    <mergeCell ref="F419:G419"/>
    <mergeCell ref="F420:G420"/>
    <mergeCell ref="F421:G421"/>
    <mergeCell ref="F422:G422"/>
    <mergeCell ref="F423:G423"/>
    <mergeCell ref="F412:G412"/>
    <mergeCell ref="F413:G413"/>
    <mergeCell ref="F414:G414"/>
    <mergeCell ref="F415:G415"/>
    <mergeCell ref="F416:G416"/>
    <mergeCell ref="F417:G417"/>
    <mergeCell ref="F406:G406"/>
    <mergeCell ref="F407:G407"/>
    <mergeCell ref="F408:G408"/>
    <mergeCell ref="F409:G409"/>
    <mergeCell ref="F410:G410"/>
    <mergeCell ref="F411:G411"/>
    <mergeCell ref="F400:G400"/>
    <mergeCell ref="F401:G401"/>
    <mergeCell ref="F402:G402"/>
    <mergeCell ref="F403:G403"/>
    <mergeCell ref="F404:G404"/>
    <mergeCell ref="F405:G405"/>
    <mergeCell ref="F394:G394"/>
    <mergeCell ref="F395:G395"/>
    <mergeCell ref="F396:G396"/>
    <mergeCell ref="F397:G397"/>
    <mergeCell ref="F398:G398"/>
    <mergeCell ref="F399:G399"/>
    <mergeCell ref="E367:G367"/>
    <mergeCell ref="F371:G371"/>
    <mergeCell ref="E372:G372"/>
    <mergeCell ref="J382:L382"/>
    <mergeCell ref="F392:G392"/>
    <mergeCell ref="F393:G393"/>
    <mergeCell ref="E352:G352"/>
    <mergeCell ref="F356:G356"/>
    <mergeCell ref="E357:G357"/>
    <mergeCell ref="F361:G361"/>
    <mergeCell ref="E362:G362"/>
    <mergeCell ref="F366:G366"/>
    <mergeCell ref="E337:G337"/>
    <mergeCell ref="F341:G341"/>
    <mergeCell ref="E342:G342"/>
    <mergeCell ref="F346:G346"/>
    <mergeCell ref="E347:G347"/>
    <mergeCell ref="F351:G351"/>
    <mergeCell ref="E322:G322"/>
    <mergeCell ref="F326:G326"/>
    <mergeCell ref="E327:G327"/>
    <mergeCell ref="F331:G331"/>
    <mergeCell ref="E332:G332"/>
    <mergeCell ref="F336:G336"/>
    <mergeCell ref="E307:G307"/>
    <mergeCell ref="F311:G311"/>
    <mergeCell ref="E312:G312"/>
    <mergeCell ref="F316:G316"/>
    <mergeCell ref="E317:G317"/>
    <mergeCell ref="F321:G321"/>
    <mergeCell ref="E293:G293"/>
    <mergeCell ref="F297:G297"/>
    <mergeCell ref="E298:G298"/>
    <mergeCell ref="F302:G302"/>
    <mergeCell ref="E303:G303"/>
    <mergeCell ref="F306:G306"/>
    <mergeCell ref="E278:G278"/>
    <mergeCell ref="F282:G282"/>
    <mergeCell ref="E283:G283"/>
    <mergeCell ref="F287:G287"/>
    <mergeCell ref="E288:G288"/>
    <mergeCell ref="F292:G292"/>
    <mergeCell ref="E263:G263"/>
    <mergeCell ref="F267:G267"/>
    <mergeCell ref="E268:G268"/>
    <mergeCell ref="F272:G272"/>
    <mergeCell ref="E273:G273"/>
    <mergeCell ref="F277:G277"/>
    <mergeCell ref="E242:G242"/>
    <mergeCell ref="F246:G246"/>
    <mergeCell ref="E247:G247"/>
    <mergeCell ref="F256:G256"/>
    <mergeCell ref="E257:G257"/>
    <mergeCell ref="F262:G262"/>
    <mergeCell ref="E222:G222"/>
    <mergeCell ref="F227:G227"/>
    <mergeCell ref="E228:G228"/>
    <mergeCell ref="F235:G235"/>
    <mergeCell ref="E236:G236"/>
    <mergeCell ref="F241:G241"/>
    <mergeCell ref="E196:G196"/>
    <mergeCell ref="F201:G201"/>
    <mergeCell ref="E202:G202"/>
    <mergeCell ref="F213:G213"/>
    <mergeCell ref="E214:G214"/>
    <mergeCell ref="F221:G221"/>
    <mergeCell ref="E178:G178"/>
    <mergeCell ref="F183:G183"/>
    <mergeCell ref="E184:G184"/>
    <mergeCell ref="F190:G190"/>
    <mergeCell ref="E191:G191"/>
    <mergeCell ref="F195:G195"/>
    <mergeCell ref="E161:G161"/>
    <mergeCell ref="F167:G167"/>
    <mergeCell ref="E168:G168"/>
    <mergeCell ref="F172:G172"/>
    <mergeCell ref="E173:G173"/>
    <mergeCell ref="F177:G177"/>
    <mergeCell ref="E145:G145"/>
    <mergeCell ref="F151:G151"/>
    <mergeCell ref="E152:G152"/>
    <mergeCell ref="E153:G153"/>
    <mergeCell ref="E155:G155"/>
    <mergeCell ref="F160:G160"/>
    <mergeCell ref="F129:G129"/>
    <mergeCell ref="E130:G130"/>
    <mergeCell ref="F136:G136"/>
    <mergeCell ref="E137:G137"/>
    <mergeCell ref="F143:G143"/>
    <mergeCell ref="E144:G144"/>
    <mergeCell ref="F111:G111"/>
    <mergeCell ref="E112:G112"/>
    <mergeCell ref="F116:G116"/>
    <mergeCell ref="E117:G117"/>
    <mergeCell ref="F123:G123"/>
    <mergeCell ref="E124:G124"/>
    <mergeCell ref="F86:G86"/>
    <mergeCell ref="E87:G87"/>
    <mergeCell ref="F93:G93"/>
    <mergeCell ref="E94:G94"/>
    <mergeCell ref="F101:G101"/>
    <mergeCell ref="E102:G102"/>
    <mergeCell ref="F66:G66"/>
    <mergeCell ref="E67:G67"/>
    <mergeCell ref="E68:G68"/>
    <mergeCell ref="E70:G70"/>
    <mergeCell ref="F78:G78"/>
    <mergeCell ref="E79:G79"/>
    <mergeCell ref="E23:G23"/>
    <mergeCell ref="F48:G48"/>
    <mergeCell ref="E49:G49"/>
    <mergeCell ref="F58:G58"/>
    <mergeCell ref="E59:G59"/>
    <mergeCell ref="E60:G60"/>
    <mergeCell ref="A1:L3"/>
    <mergeCell ref="F7:G7"/>
    <mergeCell ref="E8:G8"/>
    <mergeCell ref="F15:G15"/>
    <mergeCell ref="E16:G16"/>
    <mergeCell ref="F22:G22"/>
  </mergeCells>
  <conditionalFormatting sqref="K7">
    <cfRule type="expression" dxfId="52" priority="52" stopIfTrue="1">
      <formula>AND(ISNUMBER(K7),K7&lt;&gt;0)</formula>
    </cfRule>
  </conditionalFormatting>
  <conditionalFormatting sqref="K15">
    <cfRule type="expression" dxfId="51" priority="53" stopIfTrue="1">
      <formula>AND(ISNUMBER(K15),K15&lt;&gt;0)</formula>
    </cfRule>
  </conditionalFormatting>
  <conditionalFormatting sqref="K22">
    <cfRule type="expression" dxfId="50" priority="51" stopIfTrue="1">
      <formula>AND(ISNUMBER(K22),K22&lt;&gt;0)</formula>
    </cfRule>
  </conditionalFormatting>
  <conditionalFormatting sqref="K48">
    <cfRule type="expression" dxfId="49" priority="50" stopIfTrue="1">
      <formula>AND(ISNUMBER(K48),K48&lt;&gt;0)</formula>
    </cfRule>
  </conditionalFormatting>
  <conditionalFormatting sqref="K69">
    <cfRule type="expression" dxfId="48" priority="49" stopIfTrue="1">
      <formula>AND(ISNUMBER(K69),K69&lt;&gt;0)</formula>
    </cfRule>
  </conditionalFormatting>
  <conditionalFormatting sqref="K78">
    <cfRule type="expression" dxfId="47" priority="48" stopIfTrue="1">
      <formula>AND(ISNUMBER(K78),K78&lt;&gt;0)</formula>
    </cfRule>
  </conditionalFormatting>
  <conditionalFormatting sqref="K86">
    <cfRule type="expression" dxfId="46" priority="47" stopIfTrue="1">
      <formula>AND(ISNUMBER(K86),K86&lt;&gt;0)</formula>
    </cfRule>
  </conditionalFormatting>
  <conditionalFormatting sqref="K93">
    <cfRule type="expression" dxfId="45" priority="46" stopIfTrue="1">
      <formula>AND(ISNUMBER(K93),K93&lt;&gt;0)</formula>
    </cfRule>
  </conditionalFormatting>
  <conditionalFormatting sqref="K101">
    <cfRule type="expression" dxfId="44" priority="45" stopIfTrue="1">
      <formula>AND(ISNUMBER(K101),K101&lt;&gt;0)</formula>
    </cfRule>
  </conditionalFormatting>
  <conditionalFormatting sqref="K111">
    <cfRule type="expression" dxfId="43" priority="44" stopIfTrue="1">
      <formula>AND(ISNUMBER(K111),K111&lt;&gt;0)</formula>
    </cfRule>
  </conditionalFormatting>
  <conditionalFormatting sqref="K116">
    <cfRule type="expression" dxfId="42" priority="43" stopIfTrue="1">
      <formula>AND(ISNUMBER(K116),K116&lt;&gt;0)</formula>
    </cfRule>
  </conditionalFormatting>
  <conditionalFormatting sqref="K123">
    <cfRule type="expression" dxfId="41" priority="42" stopIfTrue="1">
      <formula>AND(ISNUMBER(K123),K123&lt;&gt;0)</formula>
    </cfRule>
  </conditionalFormatting>
  <conditionalFormatting sqref="K129">
    <cfRule type="expression" dxfId="40" priority="41" stopIfTrue="1">
      <formula>AND(ISNUMBER(K129),K129&lt;&gt;0)</formula>
    </cfRule>
  </conditionalFormatting>
  <conditionalFormatting sqref="K136">
    <cfRule type="expression" dxfId="39" priority="40" stopIfTrue="1">
      <formula>AND(ISNUMBER(K136),K136&lt;&gt;0)</formula>
    </cfRule>
  </conditionalFormatting>
  <conditionalFormatting sqref="K154">
    <cfRule type="expression" dxfId="38" priority="39" stopIfTrue="1">
      <formula>AND(ISNUMBER(K154),K154&lt;&gt;0)</formula>
    </cfRule>
  </conditionalFormatting>
  <conditionalFormatting sqref="K160">
    <cfRule type="expression" dxfId="37" priority="38" stopIfTrue="1">
      <formula>AND(ISNUMBER(K160),K160&lt;&gt;0)</formula>
    </cfRule>
  </conditionalFormatting>
  <conditionalFormatting sqref="K167">
    <cfRule type="expression" dxfId="36" priority="37" stopIfTrue="1">
      <formula>AND(ISNUMBER(K167),K167&lt;&gt;0)</formula>
    </cfRule>
  </conditionalFormatting>
  <conditionalFormatting sqref="K172">
    <cfRule type="expression" dxfId="35" priority="36" stopIfTrue="1">
      <formula>AND(ISNUMBER(K172),K172&lt;&gt;0)</formula>
    </cfRule>
  </conditionalFormatting>
  <conditionalFormatting sqref="K177">
    <cfRule type="expression" dxfId="34" priority="35" stopIfTrue="1">
      <formula>AND(ISNUMBER(K177),K177&lt;&gt;0)</formula>
    </cfRule>
  </conditionalFormatting>
  <conditionalFormatting sqref="K183">
    <cfRule type="expression" dxfId="33" priority="34" stopIfTrue="1">
      <formula>AND(ISNUMBER(K183),K183&lt;&gt;0)</formula>
    </cfRule>
  </conditionalFormatting>
  <conditionalFormatting sqref="K190">
    <cfRule type="expression" dxfId="32" priority="33" stopIfTrue="1">
      <formula>AND(ISNUMBER(K190),K190&lt;&gt;0)</formula>
    </cfRule>
  </conditionalFormatting>
  <conditionalFormatting sqref="K195">
    <cfRule type="expression" dxfId="31" priority="32" stopIfTrue="1">
      <formula>AND(ISNUMBER(K195),K195&lt;&gt;0)</formula>
    </cfRule>
  </conditionalFormatting>
  <conditionalFormatting sqref="K201">
    <cfRule type="expression" dxfId="30" priority="31" stopIfTrue="1">
      <formula>AND(ISNUMBER(K201),K201&lt;&gt;0)</formula>
    </cfRule>
  </conditionalFormatting>
  <conditionalFormatting sqref="K213">
    <cfRule type="expression" dxfId="29" priority="30" stopIfTrue="1">
      <formula>AND(ISNUMBER(K213),K213&lt;&gt;0)</formula>
    </cfRule>
  </conditionalFormatting>
  <conditionalFormatting sqref="K221">
    <cfRule type="expression" dxfId="28" priority="29" stopIfTrue="1">
      <formula>AND(ISNUMBER(K221),K221&lt;&gt;0)</formula>
    </cfRule>
  </conditionalFormatting>
  <conditionalFormatting sqref="K227">
    <cfRule type="expression" dxfId="27" priority="28" stopIfTrue="1">
      <formula>AND(ISNUMBER(K227),K227&lt;&gt;0)</formula>
    </cfRule>
  </conditionalFormatting>
  <conditionalFormatting sqref="K235">
    <cfRule type="expression" dxfId="26" priority="27" stopIfTrue="1">
      <formula>AND(ISNUMBER(K235),K235&lt;&gt;0)</formula>
    </cfRule>
  </conditionalFormatting>
  <conditionalFormatting sqref="K241">
    <cfRule type="expression" dxfId="25" priority="26" stopIfTrue="1">
      <formula>AND(ISNUMBER(K241),K241&lt;&gt;0)</formula>
    </cfRule>
  </conditionalFormatting>
  <conditionalFormatting sqref="K246">
    <cfRule type="expression" dxfId="24" priority="25" stopIfTrue="1">
      <formula>AND(ISNUMBER(K246),K246&lt;&gt;0)</formula>
    </cfRule>
  </conditionalFormatting>
  <conditionalFormatting sqref="K256">
    <cfRule type="expression" dxfId="23" priority="24" stopIfTrue="1">
      <formula>AND(ISNUMBER(K256),K256&lt;&gt;0)</formula>
    </cfRule>
  </conditionalFormatting>
  <conditionalFormatting sqref="K262">
    <cfRule type="expression" dxfId="22" priority="23" stopIfTrue="1">
      <formula>AND(ISNUMBER(K262),K262&lt;&gt;0)</formula>
    </cfRule>
  </conditionalFormatting>
  <conditionalFormatting sqref="K267">
    <cfRule type="expression" dxfId="21" priority="22" stopIfTrue="1">
      <formula>AND(ISNUMBER(K267),K267&lt;&gt;0)</formula>
    </cfRule>
  </conditionalFormatting>
  <conditionalFormatting sqref="K272">
    <cfRule type="expression" dxfId="20" priority="21" stopIfTrue="1">
      <formula>AND(ISNUMBER(K272),K272&lt;&gt;0)</formula>
    </cfRule>
  </conditionalFormatting>
  <conditionalFormatting sqref="K277">
    <cfRule type="expression" dxfId="19" priority="20" stopIfTrue="1">
      <formula>AND(ISNUMBER(K277),K277&lt;&gt;0)</formula>
    </cfRule>
  </conditionalFormatting>
  <conditionalFormatting sqref="K282">
    <cfRule type="expression" dxfId="18" priority="19" stopIfTrue="1">
      <formula>AND(ISNUMBER(K282),K282&lt;&gt;0)</formula>
    </cfRule>
  </conditionalFormatting>
  <conditionalFormatting sqref="K287">
    <cfRule type="expression" dxfId="17" priority="18" stopIfTrue="1">
      <formula>AND(ISNUMBER(K287),K287&lt;&gt;0)</formula>
    </cfRule>
  </conditionalFormatting>
  <conditionalFormatting sqref="K292">
    <cfRule type="expression" dxfId="16" priority="17" stopIfTrue="1">
      <formula>AND(ISNUMBER(K292),K292&lt;&gt;0)</formula>
    </cfRule>
  </conditionalFormatting>
  <conditionalFormatting sqref="K297">
    <cfRule type="expression" dxfId="15" priority="16" stopIfTrue="1">
      <formula>AND(ISNUMBER(K297),K297&lt;&gt;0)</formula>
    </cfRule>
  </conditionalFormatting>
  <conditionalFormatting sqref="K302">
    <cfRule type="expression" dxfId="14" priority="15" stopIfTrue="1">
      <formula>AND(ISNUMBER(K302),K302&lt;&gt;0)</formula>
    </cfRule>
  </conditionalFormatting>
  <conditionalFormatting sqref="K306">
    <cfRule type="expression" dxfId="13" priority="14" stopIfTrue="1">
      <formula>AND(ISNUMBER(K306),K306&lt;&gt;0)</formula>
    </cfRule>
  </conditionalFormatting>
  <conditionalFormatting sqref="K311">
    <cfRule type="expression" dxfId="12" priority="13" stopIfTrue="1">
      <formula>AND(ISNUMBER(K311),K311&lt;&gt;0)</formula>
    </cfRule>
  </conditionalFormatting>
  <conditionalFormatting sqref="K316">
    <cfRule type="expression" dxfId="11" priority="12" stopIfTrue="1">
      <formula>AND(ISNUMBER(K316),K316&lt;&gt;0)</formula>
    </cfRule>
  </conditionalFormatting>
  <conditionalFormatting sqref="K321">
    <cfRule type="expression" dxfId="10" priority="11" stopIfTrue="1">
      <formula>AND(ISNUMBER(K321),K321&lt;&gt;0)</formula>
    </cfRule>
  </conditionalFormatting>
  <conditionalFormatting sqref="K326">
    <cfRule type="expression" dxfId="9" priority="10" stopIfTrue="1">
      <formula>AND(ISNUMBER(K326),K326&lt;&gt;0)</formula>
    </cfRule>
  </conditionalFormatting>
  <conditionalFormatting sqref="K331">
    <cfRule type="expression" dxfId="8" priority="9" stopIfTrue="1">
      <formula>AND(ISNUMBER(K331),K331&lt;&gt;0)</formula>
    </cfRule>
  </conditionalFormatting>
  <conditionalFormatting sqref="K336">
    <cfRule type="expression" dxfId="7" priority="8" stopIfTrue="1">
      <formula>AND(ISNUMBER(K336),K336&lt;&gt;0)</formula>
    </cfRule>
  </conditionalFormatting>
  <conditionalFormatting sqref="K341">
    <cfRule type="expression" dxfId="6" priority="7" stopIfTrue="1">
      <formula>AND(ISNUMBER(K341),K341&lt;&gt;0)</formula>
    </cfRule>
  </conditionalFormatting>
  <conditionalFormatting sqref="K346">
    <cfRule type="expression" dxfId="5" priority="6" stopIfTrue="1">
      <formula>AND(ISNUMBER(K346),K346&lt;&gt;0)</formula>
    </cfRule>
  </conditionalFormatting>
  <conditionalFormatting sqref="K351">
    <cfRule type="expression" dxfId="4" priority="5" stopIfTrue="1">
      <formula>AND(ISNUMBER(K351),K351&lt;&gt;0)</formula>
    </cfRule>
  </conditionalFormatting>
  <conditionalFormatting sqref="K356">
    <cfRule type="expression" dxfId="3" priority="4" stopIfTrue="1">
      <formula>AND(ISNUMBER(K356),K356&lt;&gt;0)</formula>
    </cfRule>
  </conditionalFormatting>
  <conditionalFormatting sqref="K361">
    <cfRule type="expression" dxfId="2" priority="3" stopIfTrue="1">
      <formula>AND(ISNUMBER(K361),K361&lt;&gt;0)</formula>
    </cfRule>
  </conditionalFormatting>
  <conditionalFormatting sqref="K366">
    <cfRule type="expression" dxfId="1" priority="2" stopIfTrue="1">
      <formula>AND(ISNUMBER(K366),K366&lt;&gt;0)</formula>
    </cfRule>
  </conditionalFormatting>
  <conditionalFormatting sqref="K371">
    <cfRule type="expression" dxfId="0" priority="1" stopIfTrue="1">
      <formula>AND(ISNUMBER(K371),K371&lt;&gt;0)</formula>
    </cfRule>
  </conditionalFormatting>
  <dataValidations count="5">
    <dataValidation type="list" allowBlank="1" showInputMessage="1" showErrorMessage="1" sqref="J362" xr:uid="{743F2A35-95C2-41C9-9317-BCBC921A9D0D}">
      <formula1>"Through Rate,Material Rate"</formula1>
    </dataValidation>
    <dataValidation type="list" allowBlank="1" showInputMessage="1" showErrorMessage="1" sqref="J372 J367 J357 J352 J347 J342 J337 J332 J327 J322 J317 J312 J307 J303 J298 J293 J288 J283 J278 J273 J268 J263 J257 J247 J242 J236 J228 J202 J196 J184 J173 J168 J161 J137 J130 J124 J117 J102 J87 J79 J23" xr:uid="{A0FBFAB5-F06D-4916-AC92-F89699317380}">
      <formula1>"Through Rate,Material Rate,Labour Rate"</formula1>
    </dataValidation>
    <dataValidation type="list" allowBlank="1" showInputMessage="1" showErrorMessage="1" sqref="J222 J214 J191 J178 J155 J112 J94 J70 J49" xr:uid="{8D261620-841F-40D7-A138-E447C6F04280}">
      <formula1>"Through rates Amnd,Through Rate,Material rates Amnd,Material Rate,Labour rates Amnd,Labour Rate"</formula1>
    </dataValidation>
    <dataValidation type="list" allowBlank="1" showInputMessage="1" showErrorMessage="1" sqref="J8" xr:uid="{24E97F9E-29AC-4923-B19C-7DAA2378F0E3}">
      <formula1>"Through Rate,Labour Rate"</formula1>
    </dataValidation>
    <dataValidation type="list" allowBlank="1" showInputMessage="1" showErrorMessage="1" sqref="J16" xr:uid="{6003363C-B95D-48E6-9206-8215730F3D88}">
      <formula1>"Through Rate,Labour Rate,Machinery Rate"</formula1>
    </dataValidation>
  </dataValidations>
  <pageMargins left="0.35" right="0.37" top="0.55000000000000004" bottom="0.54" header="0.3" footer="0.3"/>
  <pageSetup paperSize="9" scale="5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GarG BroThers</dc:creator>
  <cp:lastModifiedBy>GarG BroThers</cp:lastModifiedBy>
  <dcterms:created xsi:type="dcterms:W3CDTF">2025-12-29T05:11:16Z</dcterms:created>
  <dcterms:modified xsi:type="dcterms:W3CDTF">2025-12-29T05:11:16Z</dcterms:modified>
</cp:coreProperties>
</file>