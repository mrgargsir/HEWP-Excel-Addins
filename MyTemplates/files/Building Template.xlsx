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defaultThemeVersion="166925"/>
  <mc:AlternateContent xmlns:mc="http://schemas.openxmlformats.org/markup-compatibility/2006">
    <mc:Choice Requires="x15">
      <x15ac:absPath xmlns:x15ac="http://schemas.microsoft.com/office/spreadsheetml/2010/11/ac" url="E:\Repo\HEWP-Excel-Addins\MyTemplates\files\"/>
    </mc:Choice>
  </mc:AlternateContent>
  <xr:revisionPtr revIDLastSave="0" documentId="13_ncr:1_{58BC93B5-A540-48D1-8500-8F80255C958E}" xr6:coauthVersionLast="47" xr6:coauthVersionMax="47" xr10:uidLastSave="{00000000-0000-0000-0000-000000000000}"/>
  <bookViews>
    <workbookView xWindow="-108" yWindow="-108" windowWidth="23256" windowHeight="12456" xr2:uid="{E07E5BEF-1076-46AB-ADB0-62FD798C8736}"/>
  </bookViews>
  <sheets>
    <sheet name="Building" sheetId="2"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K372" i="2" l="1"/>
  <c r="K371" i="2"/>
  <c r="H370" i="2"/>
  <c r="H371" i="2" s="1"/>
  <c r="H372" i="2" s="1"/>
  <c r="L372" i="2" s="1"/>
  <c r="K367" i="2"/>
  <c r="K366" i="2"/>
  <c r="H365" i="2"/>
  <c r="H366" i="2" s="1"/>
  <c r="H367" i="2" s="1"/>
  <c r="K362" i="2"/>
  <c r="K361" i="2"/>
  <c r="H360" i="2"/>
  <c r="H361" i="2" s="1"/>
  <c r="H362" i="2" s="1"/>
  <c r="K357" i="2"/>
  <c r="K356" i="2"/>
  <c r="H355" i="2"/>
  <c r="H356" i="2" s="1"/>
  <c r="H357" i="2" s="1"/>
  <c r="K352" i="2"/>
  <c r="K351" i="2"/>
  <c r="H350" i="2"/>
  <c r="H351" i="2" s="1"/>
  <c r="H352" i="2" s="1"/>
  <c r="K347" i="2"/>
  <c r="K346" i="2"/>
  <c r="H345" i="2"/>
  <c r="H346" i="2" s="1"/>
  <c r="H347" i="2" s="1"/>
  <c r="K342" i="2"/>
  <c r="K341" i="2"/>
  <c r="H340" i="2"/>
  <c r="H341" i="2" s="1"/>
  <c r="H342" i="2" s="1"/>
  <c r="K337" i="2"/>
  <c r="K336" i="2"/>
  <c r="H335" i="2"/>
  <c r="H336" i="2" s="1"/>
  <c r="H337" i="2" s="1"/>
  <c r="K332" i="2"/>
  <c r="K331" i="2"/>
  <c r="H330" i="2"/>
  <c r="H331" i="2" s="1"/>
  <c r="H332" i="2" s="1"/>
  <c r="K327" i="2"/>
  <c r="K326" i="2"/>
  <c r="H325" i="2"/>
  <c r="H326" i="2" s="1"/>
  <c r="H327" i="2" s="1"/>
  <c r="K322" i="2"/>
  <c r="K321" i="2"/>
  <c r="H320" i="2"/>
  <c r="H321" i="2" s="1"/>
  <c r="H322" i="2" s="1"/>
  <c r="K317" i="2"/>
  <c r="K316" i="2"/>
  <c r="K312" i="2"/>
  <c r="K311" i="2"/>
  <c r="K307" i="2"/>
  <c r="K306" i="2"/>
  <c r="K303" i="2"/>
  <c r="K302" i="2"/>
  <c r="H301" i="2"/>
  <c r="H302" i="2" s="1"/>
  <c r="K298" i="2"/>
  <c r="K297" i="2"/>
  <c r="H296" i="2"/>
  <c r="H297" i="2" s="1"/>
  <c r="H298" i="2" s="1"/>
  <c r="K293" i="2"/>
  <c r="K292" i="2"/>
  <c r="H291" i="2"/>
  <c r="H292" i="2" s="1"/>
  <c r="H293" i="2" s="1"/>
  <c r="K288" i="2"/>
  <c r="K287" i="2"/>
  <c r="H286" i="2"/>
  <c r="H287" i="2" s="1"/>
  <c r="H288" i="2" s="1"/>
  <c r="K283" i="2"/>
  <c r="K282" i="2"/>
  <c r="H281" i="2"/>
  <c r="H282" i="2" s="1"/>
  <c r="H283" i="2" s="1"/>
  <c r="K278" i="2"/>
  <c r="K277" i="2"/>
  <c r="H276" i="2"/>
  <c r="H277" i="2" s="1"/>
  <c r="H278" i="2" s="1"/>
  <c r="K273" i="2"/>
  <c r="K272" i="2"/>
  <c r="H271" i="2"/>
  <c r="H272" i="2" s="1"/>
  <c r="H273" i="2" s="1"/>
  <c r="K268" i="2"/>
  <c r="K267" i="2"/>
  <c r="H266" i="2"/>
  <c r="H267" i="2" s="1"/>
  <c r="H268" i="2" s="1"/>
  <c r="L268" i="2" s="1"/>
  <c r="K263" i="2"/>
  <c r="K262" i="2"/>
  <c r="H261" i="2"/>
  <c r="H260" i="2"/>
  <c r="K257" i="2"/>
  <c r="K256" i="2"/>
  <c r="H255" i="2"/>
  <c r="H254" i="2"/>
  <c r="H253" i="2"/>
  <c r="H252" i="2"/>
  <c r="H251" i="2"/>
  <c r="K247" i="2"/>
  <c r="K246" i="2"/>
  <c r="K242" i="2"/>
  <c r="K241" i="2"/>
  <c r="H240" i="2"/>
  <c r="H239" i="2"/>
  <c r="K236" i="2"/>
  <c r="K235" i="2"/>
  <c r="H234" i="2"/>
  <c r="H233" i="2"/>
  <c r="H232" i="2"/>
  <c r="H231" i="2"/>
  <c r="H235" i="2" s="1"/>
  <c r="H236" i="2" s="1"/>
  <c r="K228" i="2"/>
  <c r="K227" i="2"/>
  <c r="H226" i="2"/>
  <c r="H225" i="2"/>
  <c r="H227" i="2" s="1"/>
  <c r="H228" i="2" s="1"/>
  <c r="L228" i="2" s="1"/>
  <c r="K222" i="2"/>
  <c r="K221" i="2"/>
  <c r="H220" i="2"/>
  <c r="H219" i="2"/>
  <c r="H218" i="2"/>
  <c r="H217" i="2"/>
  <c r="K214" i="2"/>
  <c r="K213" i="2"/>
  <c r="H212" i="2"/>
  <c r="H211" i="2"/>
  <c r="H210" i="2"/>
  <c r="H213" i="2" s="1"/>
  <c r="E245" i="2" s="1"/>
  <c r="H245" i="2" s="1"/>
  <c r="H246" i="2" s="1"/>
  <c r="H247" i="2" s="1"/>
  <c r="H209" i="2"/>
  <c r="H208" i="2"/>
  <c r="H207" i="2"/>
  <c r="K202" i="2"/>
  <c r="K201" i="2"/>
  <c r="H200" i="2"/>
  <c r="H201" i="2" s="1"/>
  <c r="H202" i="2" s="1"/>
  <c r="H199" i="2"/>
  <c r="K196" i="2"/>
  <c r="K195" i="2"/>
  <c r="E194" i="2"/>
  <c r="H194" i="2" s="1"/>
  <c r="H195" i="2" s="1"/>
  <c r="H196" i="2" s="1"/>
  <c r="K191" i="2"/>
  <c r="K190" i="2"/>
  <c r="H189" i="2"/>
  <c r="H190" i="2" s="1"/>
  <c r="H191" i="2" s="1"/>
  <c r="L191" i="2" s="1"/>
  <c r="H188" i="2"/>
  <c r="K184" i="2"/>
  <c r="K183" i="2"/>
  <c r="E182" i="2"/>
  <c r="H182" i="2" s="1"/>
  <c r="H181" i="2"/>
  <c r="K178" i="2"/>
  <c r="K177" i="2"/>
  <c r="K173" i="2"/>
  <c r="K172" i="2"/>
  <c r="H171" i="2"/>
  <c r="H172" i="2" s="1"/>
  <c r="H173" i="2" s="1"/>
  <c r="K168" i="2"/>
  <c r="K167" i="2"/>
  <c r="H166" i="2"/>
  <c r="H167" i="2" s="1"/>
  <c r="H168" i="2" s="1"/>
  <c r="L168" i="2" s="1"/>
  <c r="K161" i="2"/>
  <c r="K160" i="2"/>
  <c r="H159" i="2"/>
  <c r="H160" i="2" s="1"/>
  <c r="H161" i="2" s="1"/>
  <c r="L161" i="2" s="1"/>
  <c r="K155" i="2"/>
  <c r="K154" i="2"/>
  <c r="H150" i="2"/>
  <c r="H151" i="2" s="1"/>
  <c r="H152" i="2" s="1"/>
  <c r="H153" i="2" s="1"/>
  <c r="H142" i="2"/>
  <c r="H143" i="2" s="1"/>
  <c r="H144" i="2" s="1"/>
  <c r="H145" i="2" s="1"/>
  <c r="H155" i="2" s="1"/>
  <c r="L155" i="2" s="1"/>
  <c r="K137" i="2"/>
  <c r="K136" i="2"/>
  <c r="E134" i="2"/>
  <c r="H134" i="2" s="1"/>
  <c r="H133" i="2"/>
  <c r="K130" i="2"/>
  <c r="K129" i="2"/>
  <c r="D128" i="2"/>
  <c r="H128" i="2" s="1"/>
  <c r="D127" i="2"/>
  <c r="H127" i="2" s="1"/>
  <c r="H129" i="2" s="1"/>
  <c r="H130" i="2" s="1"/>
  <c r="K124" i="2"/>
  <c r="K123" i="2"/>
  <c r="H122" i="2"/>
  <c r="H121" i="2"/>
  <c r="H120" i="2"/>
  <c r="H123" i="2" s="1"/>
  <c r="H124" i="2" s="1"/>
  <c r="K117" i="2"/>
  <c r="K116" i="2"/>
  <c r="H115" i="2"/>
  <c r="H116" i="2" s="1"/>
  <c r="H117" i="2" s="1"/>
  <c r="K112" i="2"/>
  <c r="K111" i="2"/>
  <c r="H110" i="2"/>
  <c r="H109" i="2"/>
  <c r="H108" i="2"/>
  <c r="H107" i="2"/>
  <c r="H106" i="2"/>
  <c r="H105" i="2"/>
  <c r="K102" i="2"/>
  <c r="K101" i="2"/>
  <c r="H100" i="2"/>
  <c r="H99" i="2"/>
  <c r="H98" i="2"/>
  <c r="H97" i="2"/>
  <c r="K94" i="2"/>
  <c r="K93" i="2"/>
  <c r="H92" i="2"/>
  <c r="H91" i="2"/>
  <c r="H90" i="2"/>
  <c r="K87" i="2"/>
  <c r="K86" i="2"/>
  <c r="H85" i="2"/>
  <c r="H84" i="2"/>
  <c r="H83" i="2"/>
  <c r="H82" i="2"/>
  <c r="H86" i="2" s="1"/>
  <c r="H87" i="2" s="1"/>
  <c r="K79" i="2"/>
  <c r="K78" i="2"/>
  <c r="H77" i="2"/>
  <c r="H76" i="2"/>
  <c r="H75" i="2"/>
  <c r="H74" i="2"/>
  <c r="K70" i="2"/>
  <c r="K69" i="2"/>
  <c r="H65" i="2"/>
  <c r="H64" i="2"/>
  <c r="H66" i="2" s="1"/>
  <c r="H67" i="2" s="1"/>
  <c r="H68" i="2" s="1"/>
  <c r="H57" i="2"/>
  <c r="H56" i="2"/>
  <c r="F55" i="2"/>
  <c r="H55" i="2" s="1"/>
  <c r="H58" i="2" s="1"/>
  <c r="H59" i="2" s="1"/>
  <c r="H60" i="2" s="1"/>
  <c r="H54" i="2"/>
  <c r="K49" i="2"/>
  <c r="K48" i="2"/>
  <c r="H47" i="2"/>
  <c r="H46" i="2"/>
  <c r="H45" i="2"/>
  <c r="E44" i="2"/>
  <c r="H44" i="2" s="1"/>
  <c r="H43" i="2"/>
  <c r="H42" i="2"/>
  <c r="H41" i="2"/>
  <c r="E36" i="2"/>
  <c r="E37" i="2" s="1"/>
  <c r="E31" i="2"/>
  <c r="H31" i="2" s="1"/>
  <c r="E26" i="2"/>
  <c r="E27" i="2" s="1"/>
  <c r="K23" i="2"/>
  <c r="K22" i="2"/>
  <c r="E21" i="2"/>
  <c r="H21" i="2" s="1"/>
  <c r="E20" i="2"/>
  <c r="H20" i="2" s="1"/>
  <c r="E19" i="2"/>
  <c r="H19" i="2" s="1"/>
  <c r="K16" i="2"/>
  <c r="K15" i="2"/>
  <c r="F14" i="2"/>
  <c r="E14" i="2"/>
  <c r="E13" i="2"/>
  <c r="H13" i="2" s="1"/>
  <c r="E12" i="2"/>
  <c r="H12" i="2" s="1"/>
  <c r="E11" i="2"/>
  <c r="K8" i="2"/>
  <c r="K7" i="2"/>
  <c r="H6" i="2"/>
  <c r="H7" i="2" s="1"/>
  <c r="H8" i="2" s="1"/>
  <c r="A5" i="2"/>
  <c r="A10" i="2" s="1"/>
  <c r="A18" i="2" s="1"/>
  <c r="H22" i="2" l="1"/>
  <c r="H23" i="2" s="1"/>
  <c r="H111" i="2"/>
  <c r="H112" i="2" s="1"/>
  <c r="L112" i="2" s="1"/>
  <c r="H241" i="2"/>
  <c r="H242" i="2" s="1"/>
  <c r="L8" i="2"/>
  <c r="H221" i="2"/>
  <c r="H222" i="2" s="1"/>
  <c r="L222" i="2" s="1"/>
  <c r="H262" i="2"/>
  <c r="H263" i="2" s="1"/>
  <c r="L263" i="2" s="1"/>
  <c r="H93" i="2"/>
  <c r="H94" i="2" s="1"/>
  <c r="L94" i="2" s="1"/>
  <c r="H101" i="2"/>
  <c r="H102" i="2" s="1"/>
  <c r="L102" i="2" s="1"/>
  <c r="H256" i="2"/>
  <c r="H257" i="2" s="1"/>
  <c r="H78" i="2"/>
  <c r="H79" i="2" s="1"/>
  <c r="L79" i="2" s="1"/>
  <c r="H183" i="2"/>
  <c r="H184" i="2" s="1"/>
  <c r="L184" i="2" s="1"/>
  <c r="H14" i="2"/>
  <c r="L257" i="2"/>
  <c r="L357" i="2"/>
  <c r="L117" i="2"/>
  <c r="L236" i="2"/>
  <c r="L337" i="2"/>
  <c r="L342" i="2"/>
  <c r="L23" i="2"/>
  <c r="L130" i="2"/>
  <c r="L196" i="2"/>
  <c r="L288" i="2"/>
  <c r="L278" i="2"/>
  <c r="L283" i="2"/>
  <c r="L367" i="2"/>
  <c r="G305" i="2"/>
  <c r="H305" i="2" s="1"/>
  <c r="H306" i="2" s="1"/>
  <c r="H303" i="2"/>
  <c r="L247" i="2"/>
  <c r="L322" i="2"/>
  <c r="L87" i="2"/>
  <c r="L242" i="2"/>
  <c r="E28" i="2"/>
  <c r="H27" i="2"/>
  <c r="L293" i="2"/>
  <c r="L202" i="2"/>
  <c r="L124" i="2"/>
  <c r="H70" i="2"/>
  <c r="L70" i="2" s="1"/>
  <c r="F176" i="2"/>
  <c r="H176" i="2" s="1"/>
  <c r="H177" i="2" s="1"/>
  <c r="H178" i="2" s="1"/>
  <c r="L178" i="2" s="1"/>
  <c r="L173" i="2"/>
  <c r="H37" i="2"/>
  <c r="E38" i="2"/>
  <c r="L327" i="2"/>
  <c r="L352" i="2"/>
  <c r="L273" i="2"/>
  <c r="L332" i="2"/>
  <c r="A25" i="2"/>
  <c r="A51" i="2" s="1"/>
  <c r="L347" i="2"/>
  <c r="L298" i="2"/>
  <c r="H36" i="2"/>
  <c r="H11" i="2"/>
  <c r="L362" i="2"/>
  <c r="H214" i="2"/>
  <c r="L214" i="2" s="1"/>
  <c r="E32" i="2"/>
  <c r="H26" i="2"/>
  <c r="H15" i="2" l="1"/>
  <c r="H16" i="2" s="1"/>
  <c r="A72" i="2"/>
  <c r="A81" i="2" s="1"/>
  <c r="E29" i="2"/>
  <c r="H28" i="2"/>
  <c r="L16" i="2"/>
  <c r="E135" i="2"/>
  <c r="H135" i="2" s="1"/>
  <c r="H136" i="2" s="1"/>
  <c r="H137" i="2" s="1"/>
  <c r="E39" i="2"/>
  <c r="H38" i="2"/>
  <c r="L303" i="2"/>
  <c r="E33" i="2"/>
  <c r="H32" i="2"/>
  <c r="E310" i="2"/>
  <c r="H307" i="2"/>
  <c r="L307" i="2" s="1"/>
  <c r="L137" i="2" l="1"/>
  <c r="H29" i="2"/>
  <c r="E30" i="2"/>
  <c r="E40" i="2"/>
  <c r="H40" i="2" s="1"/>
  <c r="H39" i="2"/>
  <c r="E315" i="2"/>
  <c r="H315" i="2" s="1"/>
  <c r="H316" i="2" s="1"/>
  <c r="H317" i="2" s="1"/>
  <c r="H310" i="2"/>
  <c r="H311" i="2" s="1"/>
  <c r="H312" i="2" s="1"/>
  <c r="E34" i="2"/>
  <c r="H33" i="2"/>
  <c r="A89" i="2"/>
  <c r="L312" i="2" l="1"/>
  <c r="H30" i="2"/>
  <c r="L317" i="2"/>
  <c r="E35" i="2"/>
  <c r="H34" i="2"/>
  <c r="A96" i="2"/>
  <c r="H35" i="2" l="1"/>
  <c r="H48" i="2" s="1"/>
  <c r="H49" i="2" s="1"/>
  <c r="A104" i="2"/>
  <c r="L49" i="2" l="1"/>
  <c r="L374" i="2" s="1"/>
  <c r="A114" i="2"/>
  <c r="A119" i="2" l="1"/>
  <c r="L375" i="2"/>
  <c r="L376" i="2" s="1"/>
  <c r="L377" i="2" l="1"/>
  <c r="L378" i="2" s="1"/>
  <c r="A126" i="2"/>
  <c r="A132" i="2" s="1"/>
  <c r="L379" i="2" l="1"/>
  <c r="L380" i="2" s="1"/>
  <c r="J382" i="2" s="1"/>
  <c r="A139" i="2"/>
  <c r="A157" i="2" l="1"/>
  <c r="A163" i="2" l="1"/>
  <c r="A170" i="2" l="1"/>
  <c r="A175" i="2" l="1"/>
  <c r="A180" i="2" l="1"/>
  <c r="A186" i="2" l="1"/>
  <c r="A193" i="2" l="1"/>
  <c r="A198" i="2" l="1"/>
  <c r="A204" i="2" l="1"/>
  <c r="A216" i="2" l="1"/>
  <c r="A224" i="2" l="1"/>
  <c r="A230" i="2" l="1"/>
  <c r="A238" i="2" l="1"/>
  <c r="A244" i="2" s="1"/>
  <c r="A249" i="2" l="1"/>
  <c r="A259" i="2" l="1"/>
  <c r="A265" i="2" l="1"/>
  <c r="A270" i="2" s="1"/>
  <c r="A275" i="2" l="1"/>
  <c r="A280" i="2" l="1"/>
  <c r="A285" i="2" l="1"/>
  <c r="A290" i="2" l="1"/>
  <c r="A295" i="2" l="1"/>
  <c r="A300" i="2" l="1"/>
  <c r="A309" i="2" l="1"/>
  <c r="A314" i="2" l="1"/>
  <c r="A319" i="2" l="1"/>
  <c r="A324" i="2" l="1"/>
  <c r="A329" i="2" s="1"/>
  <c r="A334" i="2" l="1"/>
  <c r="A339" i="2" s="1"/>
  <c r="A344" i="2" l="1"/>
  <c r="A349" i="2" s="1"/>
  <c r="A354" i="2" l="1"/>
  <c r="A359" i="2" s="1"/>
  <c r="A364" i="2" s="1"/>
  <c r="A369" i="2" s="1"/>
</calcChain>
</file>

<file path=xl/sharedStrings.xml><?xml version="1.0" encoding="utf-8"?>
<sst xmlns="http://schemas.openxmlformats.org/spreadsheetml/2006/main" count="591" uniqueCount="181">
  <si>
    <t xml:space="preserve"> Construction Building</t>
  </si>
  <si>
    <t>Sr No</t>
  </si>
  <si>
    <t>HSR
Item No</t>
  </si>
  <si>
    <t>Description</t>
  </si>
  <si>
    <t>Nos</t>
  </si>
  <si>
    <t>Length</t>
  </si>
  <si>
    <t>Breadth</t>
  </si>
  <si>
    <t>Depth</t>
  </si>
  <si>
    <t>Quantity</t>
  </si>
  <si>
    <t>Unit</t>
  </si>
  <si>
    <t>Rate Type</t>
  </si>
  <si>
    <t>Rate</t>
  </si>
  <si>
    <t>Amount</t>
  </si>
  <si>
    <t>4.2</t>
  </si>
  <si>
    <t>(4.2) Earth Work and Rock Cutting Clearing grass and removal of the rubbish up to a distance of 50 m outside the periphery of the area cleared.</t>
  </si>
  <si>
    <t>sft</t>
  </si>
  <si>
    <t>Total (sft)</t>
  </si>
  <si>
    <t>Total (sqm)</t>
  </si>
  <si>
    <t>Sqm</t>
  </si>
  <si>
    <t>Through Rate</t>
  </si>
  <si>
    <t>]</t>
  </si>
  <si>
    <t>4.12.1</t>
  </si>
  <si>
    <r>
      <t xml:space="preserve">(4.12) Earth Work and Rock Cutting Earth work in excavation by mechanical means (Hydraulic excavator)/manual means over areas (exceeding 30 cm in depth, 1.5 m in width as well as 10 sqm on plan) including getting out and disposal of excavated earth lead up to 50 m and lift up to 1.5 m, as directed by Engineer-in-charge.
</t>
    </r>
    <r>
      <rPr>
        <b/>
        <i/>
        <sz val="9"/>
        <color rgb="FF8B0000"/>
        <rFont val="Times New Roman"/>
        <family val="1"/>
      </rPr>
      <t>(4.12.1) All kinds of soil</t>
    </r>
  </si>
  <si>
    <t>walls</t>
  </si>
  <si>
    <t>cft</t>
  </si>
  <si>
    <t>septic tank</t>
  </si>
  <si>
    <t>Total (cft)</t>
  </si>
  <si>
    <t>Total (cum)</t>
  </si>
  <si>
    <t>cum</t>
  </si>
  <si>
    <t>6.1.6</t>
  </si>
  <si>
    <r>
      <t xml:space="preserve">(6.1) Concrete and RCC Work A CEMENT CONCRETE (CAST IN SITU) Providing and laying in position cement concrete of specified grade excluding the cost of centering and shuttering - All work below plinth level and up to Floor IV level:
</t>
    </r>
    <r>
      <rPr>
        <b/>
        <i/>
        <sz val="9"/>
        <color rgb="FF8B0000"/>
        <rFont val="Times New Roman"/>
        <family val="1"/>
      </rPr>
      <t>(6.1.6) 1:4:8 (1 Cement : 4 coarse sand (zone-III) : 8 graded stone aggregate 40 mm nominal size)</t>
    </r>
  </si>
  <si>
    <t>7.21.2</t>
  </si>
  <si>
    <r>
      <t xml:space="preserve">(7.21) Brick work with common burnt clay non- modular bricks of class designation 10.5 in foundation and plinth in:
</t>
    </r>
    <r>
      <rPr>
        <b/>
        <i/>
        <sz val="9"/>
        <color rgb="FF8B0000"/>
        <rFont val="Times New Roman"/>
        <family val="1"/>
      </rPr>
      <t>(7.21.2) Cement mortar 1:6 (1 cement : 6 coarse sand)</t>
    </r>
  </si>
  <si>
    <t>Steps</t>
  </si>
  <si>
    <t>Through rates Amnd</t>
  </si>
  <si>
    <t>6.34.6</t>
  </si>
  <si>
    <r>
      <t xml:space="preserve">(6.34) Steel reinforcement for R.C.C. work, where not included in the complete rate of RCC, including straightening, cutting, bending, placing in position, binding, wastage, overlaps, welded joints, spacer bars, chairs, stays, hangers and annealed steel wire etc. complete in all respect above plinth level. Note:- Reinforcement shall be measured in length including hooks, if any, separately for different diameters as actually used in work , excluding overlaps. Wastage, overlaps, couplings, welded joints, spacer bars, chairs, stays, hangers and annealed steel wire or other methods of binding &amp; placing shall not be measured and cost of these items shall be deemed to be included in the rates for reinforcement.
</t>
    </r>
    <r>
      <rPr>
        <b/>
        <i/>
        <sz val="9"/>
        <color rgb="FF8B0000"/>
        <rFont val="Times New Roman"/>
        <family val="1"/>
      </rPr>
      <t>(6.34.6) Thermo-Mechanically Treated bars of grade Fe-500D or more.</t>
    </r>
  </si>
  <si>
    <t>Plinth beam</t>
  </si>
  <si>
    <t>12mm Dia</t>
  </si>
  <si>
    <t>rft</t>
  </si>
  <si>
    <t>cover</t>
  </si>
  <si>
    <t>Total (rft)</t>
  </si>
  <si>
    <t>Total (m)</t>
  </si>
  <si>
    <t>m</t>
  </si>
  <si>
    <t>Total (Weight of φ12mm Rebar)</t>
  </si>
  <si>
    <t>Kg</t>
  </si>
  <si>
    <t>A</t>
  </si>
  <si>
    <t>Ring  (7*7)</t>
  </si>
  <si>
    <t>8mm Dia</t>
  </si>
  <si>
    <t>Total (Weight of φ8mm Rebar)</t>
  </si>
  <si>
    <t>B</t>
  </si>
  <si>
    <t>Total A + B</t>
  </si>
  <si>
    <t>6.14.1</t>
  </si>
  <si>
    <r>
      <t xml:space="preserve">(6.14) Concrete and RCC Work D REINFORCED CEMENT CONCRETE Providing and laying in position specified grade of reinforced cement concrete, excluding the cost of centering, shuttering, finishing and reinforcement - All work up to plinth level :
</t>
    </r>
    <r>
      <rPr>
        <b/>
        <i/>
        <sz val="9"/>
        <color rgb="FF8B0000"/>
        <rFont val="Times New Roman"/>
        <family val="1"/>
      </rPr>
      <t>(6.14.1) 1:1.5:3 (1 cement : 1.5 coarse sand (zone-III): 3 graded stone aggregate 20 mm nominal size)</t>
    </r>
  </si>
  <si>
    <t>cover septic tank</t>
  </si>
  <si>
    <t>6.30.5</t>
  </si>
  <si>
    <r>
      <t xml:space="preserve">(6.30) Concrete and RCC Work I CENTRING AND SHUTTERING (FORM WORK) Centering and shuttering including strutting, propping etc. and removal of form for
</t>
    </r>
    <r>
      <rPr>
        <b/>
        <i/>
        <sz val="9"/>
        <color rgb="FF8B0000"/>
        <rFont val="Times New Roman"/>
        <family val="1"/>
      </rPr>
      <t>(6.30.5) Lintels, beams, plinth beams, girders, bressumers and cantilevers</t>
    </r>
  </si>
  <si>
    <t>6.8.2</t>
  </si>
  <si>
    <r>
      <t xml:space="preserve">(6.8) Concrete and RCC Work B DAMP-PROOF COURSE Providing and laying damp-proof course with cement concrete 1:2:4 (1 cement : 2 coarse sand (zone-III): 4 graded stone aggregate 12.5mm nominal size)
</t>
    </r>
    <r>
      <rPr>
        <b/>
        <i/>
        <sz val="9"/>
        <color rgb="FF8B0000"/>
        <rFont val="Times New Roman"/>
        <family val="1"/>
      </rPr>
      <t>(6.8.2) 40mm thick</t>
    </r>
  </si>
  <si>
    <t>door</t>
  </si>
  <si>
    <t>7.22.2</t>
  </si>
  <si>
    <r>
      <t xml:space="preserve">(7.22) Brick work with common burnt clay non- modular bricks of class designation 7.5 in superstructure above plinth level up to floor IV level in all shapes and sizes in :
</t>
    </r>
    <r>
      <rPr>
        <b/>
        <i/>
        <sz val="9"/>
        <color rgb="FF8B0000"/>
        <rFont val="Times New Roman"/>
        <family val="1"/>
      </rPr>
      <t>(7.22.2) Cement mortar 1:6 (1 cement : 6 coarse sand)</t>
    </r>
  </si>
  <si>
    <t>D</t>
  </si>
  <si>
    <t>V</t>
  </si>
  <si>
    <t>7.28.2</t>
  </si>
  <si>
    <r>
      <t xml:space="preserve">(7.28) Brick Work and Stone Masonry HALF BRICK MASONRY Half brick masonry with common burnt clay non-modular bricks of class designation 10.5 in superstructure above plinth level up to floor IV level.
</t>
    </r>
    <r>
      <rPr>
        <b/>
        <i/>
        <sz val="9"/>
        <color rgb="FF8B0000"/>
        <rFont val="Times New Roman"/>
        <family val="1"/>
      </rPr>
      <t>(7.28.2) Cement mortar 1:4 (1 cement :4 coarse sand)</t>
    </r>
  </si>
  <si>
    <t>Toilet</t>
  </si>
  <si>
    <t>13.3.3.1</t>
  </si>
  <si>
    <r>
      <t xml:space="preserve">(13.3) Steel and Iron Work STEEL DOOR/ WINDOW FRAMES AND SHUTTERS Providing and fixing pressed steel door frames conforming to IS: 4351, manufactured from commercial mild steel sheet of 2.0 mm thickness, including hinges, jamb, lock jamb, bead and if required angle threshold of mild steel angle of section 50x25 mm, or base ties of 2.00 mm, pressed mild steel welded or rigidly fixed together by mechanical means, including M.S. pressed butt hinges 2.5 mm thick with mortar guards, lock strike-plate and shock absorbers as specified and applying a coat of approved steel primer after pre-treatment of the surface as directed by Engineer-in-charge:
</t>
    </r>
    <r>
      <rPr>
        <b/>
        <i/>
        <sz val="8"/>
        <color rgb="FF800080"/>
        <rFont val="Times New Roman"/>
        <family val="1"/>
      </rPr>
      <t>(13.3.3.1) Profile E Fixing with adjustable lugs with split end tail to each jamb</t>
    </r>
  </si>
  <si>
    <t>v</t>
  </si>
  <si>
    <t>Metre</t>
  </si>
  <si>
    <t>12.50.1</t>
  </si>
  <si>
    <r>
      <t xml:space="preserve">(12.50) Wood Work, PVC and Aluminum Door and Windows WINDOW GRILLS, METAL MESH, WIRE GAUGE ETC. Providing and fixing M.S. grills of required pattern in frames of windows etc. with M.S. flats, square or round bars etc. including priming coat with approved steel primer all complete.
</t>
    </r>
    <r>
      <rPr>
        <b/>
        <i/>
        <sz val="9"/>
        <color rgb="FF8B0000"/>
        <rFont val="Times New Roman"/>
        <family val="1"/>
      </rPr>
      <t>(12.50.1) Fixed to steel windows by welding</t>
    </r>
  </si>
  <si>
    <t>kg</t>
  </si>
  <si>
    <t>Total (kg)</t>
  </si>
  <si>
    <t>10.2</t>
  </si>
  <si>
    <t>(10.2) Flooring and Dados CEMENT CONCRETE FLOORING Supplying and filling in plinth with sand (conforming to zone-IV, IS 1542) under floors, including watering, ramming, consolidating and dressing complete.</t>
  </si>
  <si>
    <t>Did 1/3 of Excavation</t>
  </si>
  <si>
    <t>Lintel beam</t>
  </si>
  <si>
    <t xml:space="preserve">Ring </t>
  </si>
  <si>
    <t>7*7</t>
  </si>
  <si>
    <t>6.16</t>
  </si>
  <si>
    <t>(6.16) Concrete and RCC Work D REINFORCED CEMENT CONCRETE Reinforced cement concrete work in beams, suspended floors, roofs having slope up to 15� landings, balconies, shelves, chajjas, lintels, bands, plain window sills, staircases and spiral stair cases above plinth level up to floor four level, excluding the cost of centering, shuttering, finishing and reinforcement with 1:1.5:3 (1 cement : 1.5 coarse sand(zone-III) : 3 graded stone aggregate 20 mm nominal size).</t>
  </si>
  <si>
    <t>Slab</t>
  </si>
  <si>
    <t xml:space="preserve">take 120 kg per cum </t>
  </si>
  <si>
    <t>KG</t>
  </si>
  <si>
    <t>Total (KG)</t>
  </si>
  <si>
    <t>6.30.3</t>
  </si>
  <si>
    <r>
      <t xml:space="preserve">(6.30) Concrete and RCC Work I CENTRING AND SHUTTERING (FORM WORK) Centering and shuttering including strutting, propping etc. and removal of form for
</t>
    </r>
    <r>
      <rPr>
        <b/>
        <i/>
        <sz val="9"/>
        <color rgb="FF8B0000"/>
        <rFont val="Times New Roman"/>
        <family val="1"/>
      </rPr>
      <t>(6.30.3) Suspended floors, roofs, landings, balconies and access platform</t>
    </r>
  </si>
  <si>
    <t>Parapet wall</t>
  </si>
  <si>
    <t>9.11.1</t>
  </si>
  <si>
    <r>
      <t xml:space="preserve">(9.11) Hoisting and Roofing B ROOFING 10 cm thick (average) mud phaska of damped brick earth on roofs laid to slope consolidated and plastered with 25 mm thick mud mortar mixed with bhusa @ 35 kg per cum of earth and gobri leaping with mix 1:1 (1 clay : 1 cow dung) and covered with flat tile bricks, grouted with cement mortar 1:3 (1 cement : 3 fine sand) mixed with 2% of integral water proofing compound by weight of cement and finished neat:
</t>
    </r>
    <r>
      <rPr>
        <b/>
        <i/>
        <sz val="9"/>
        <color rgb="FF8B0000"/>
        <rFont val="Times New Roman"/>
        <family val="1"/>
      </rPr>
      <t>(9.11.1) With common burnt clay non-modular brick tile of class designation 10</t>
    </r>
  </si>
  <si>
    <t>10.1</t>
  </si>
  <si>
    <t>(10.1) Flooring and Dados CEMENT CONCRETE FLOORING Providing and laying of base course of floors consisting of 100 mm thick cement 1:8:16 and 100 mm sand or stone filling.</t>
  </si>
  <si>
    <t>11.5.3</t>
  </si>
  <si>
    <r>
      <t xml:space="preserve">(11.5) Finishing Works CEMENT PLASTER (IN FINE SAND) 12 mm cement plaster of mix :
</t>
    </r>
    <r>
      <rPr>
        <b/>
        <i/>
        <sz val="9"/>
        <color rgb="FF8B0000"/>
        <rFont val="Times New Roman"/>
        <family val="1"/>
      </rPr>
      <t>(11.5.3) 1:4 (1 cement: 4 fine sand)</t>
    </r>
  </si>
  <si>
    <t>Main building</t>
  </si>
  <si>
    <t>outer</t>
  </si>
  <si>
    <t>.</t>
  </si>
  <si>
    <t>-</t>
  </si>
  <si>
    <t>11.6.1</t>
  </si>
  <si>
    <r>
      <t xml:space="preserve">(11.6) Finishing Works CEMENT PLASTER (IN FINE SAND) 15 mm cement plaster on the rough side of single or half brick wall of mix :
</t>
    </r>
    <r>
      <rPr>
        <b/>
        <i/>
        <sz val="9"/>
        <color rgb="FF8B0000"/>
        <rFont val="Times New Roman"/>
        <family val="1"/>
      </rPr>
      <t>(11.6.1) 1:4 (1 cement: 4 fine sand)</t>
    </r>
  </si>
  <si>
    <t>10.8</t>
  </si>
  <si>
    <t>(10.8) Flooring and Dados CEMENT CONCRETE FLOORING Providing and laying of conglomerate floor 40mm thick cement concrete topping 1:2:4</t>
  </si>
  <si>
    <t>10.62</t>
  </si>
  <si>
    <t>(10.62) Flooring and Dados CERAMIC GLAZED TILES Providing and fixing Ist quality ceramic glazed wall tiles conforming to IS: 15622 (thickness to be specified by the manufacturer), of approved make, in all colours, shades except burgundy, bottle green, black of any size as approved by Engineer-in-Charge, in skirting, risers of steps and dados, over 12 mm thick bed of cement mortar 1:3 (1 cement : 3 coarse sand) and jointing with grey cement slurry @ 3.3kg per sqm, including pointing in white cement mixed with pigment of matching shade complete.</t>
  </si>
  <si>
    <t xml:space="preserve">Did </t>
  </si>
  <si>
    <t>10.63.2</t>
  </si>
  <si>
    <r>
      <t xml:space="preserve">(10.63) Flooring and Dados VITRIFIED FLOOR TILES Providing and laying vitrified floor tiles in different sizes (thickness to be specified by the manufacturer) with water absorption less than 0.08% and conforming to IS: 15622, of approved make, in all colours and shades, laid on 20mm thick cement mortar 1:4 (1 cement : 4 coarse sand), jointing with grey cement slurry @ 3.3 kg/ sqm including grouting the joints with white cement and matching pigments etc., complete.
</t>
    </r>
    <r>
      <rPr>
        <b/>
        <i/>
        <sz val="9"/>
        <color rgb="FF8B0000"/>
        <rFont val="Times New Roman"/>
        <family val="1"/>
      </rPr>
      <t>(10.63.2) Size of Tile 600x600 mm</t>
    </r>
  </si>
  <si>
    <t>11.58</t>
  </si>
  <si>
    <t>(11.58) Finishing Works INTERIOR FINISHING Providing and applying two coats white cement based putty of approved brand and manufacturer, over plastered surface and grinding the surface smooth with sand paper to get en even and smooth finish including cost and carriage of all material , labour charges, scaffolding, sundries etc. complete</t>
  </si>
  <si>
    <t>qty same as plaster 12mm</t>
  </si>
  <si>
    <t>11.93.1</t>
  </si>
  <si>
    <r>
      <t xml:space="preserve">(11.93) Finishing Works EXTERIOR FINISHING WALL AND ROOF SURFACES Finishing walls with water proofing cement paint of required shade :
</t>
    </r>
    <r>
      <rPr>
        <b/>
        <i/>
        <sz val="9"/>
        <color rgb="FF8B0000"/>
        <rFont val="Times New Roman"/>
        <family val="1"/>
      </rPr>
      <t>(11.93.1) New work (Two or more coats applied @ 3.84 kg/10 sqm)</t>
    </r>
  </si>
  <si>
    <t>9.17.1</t>
  </si>
  <si>
    <r>
      <t xml:space="preserve">(9.17) Hoisting and Roofing B ROOFING Providing gola 75x75 mm in cement concrete 1:2:4 (1 cement : 2 coarse sand : 4 stone aggregate 10 mm and down gauge), including finishing with cement mortar 1:3 (1 cement : 3 fine sand) as per standard design :
</t>
    </r>
    <r>
      <rPr>
        <b/>
        <i/>
        <sz val="9"/>
        <color rgb="FF8B0000"/>
        <rFont val="Times New Roman"/>
        <family val="1"/>
      </rPr>
      <t>(9.17.1) In 75x75 mm deep chase</t>
    </r>
  </si>
  <si>
    <t>9.18</t>
  </si>
  <si>
    <t>(9.18) Hoisting and Roofing B ROOFING Making khurras 45x45 cm with average minimum thickness of 5 cm cement concrete 1:2:4 (1 cement : 2 coarse sand : 4 graded stone aggregate of 20 mm nominal size) over P.V.C. sheet 1 m x1 m x 400 micron, finished with 12 mm cement plaster 1:3 (1 cement : 3 coarse sand) and a coat of neat cement, rounding the edges and making and finishing the outlet complete.</t>
  </si>
  <si>
    <t>Total (Nos)</t>
  </si>
  <si>
    <t>Total (nos)</t>
  </si>
  <si>
    <t>Each</t>
  </si>
  <si>
    <t>9.57.2</t>
  </si>
  <si>
    <r>
      <t xml:space="preserve">(9.57) Hoisting and Roofing RAIN WATER SPOUTS AND PIPES Providing and fixing on wall face Unplasticised Rigid PVC rain water pipes conforming to IS : 13592 Type A, including jointing with seal ring conforming to IS : 5382, leaving 10 mm gap for thermal expansion, (i) Single socketed pipes.
</t>
    </r>
    <r>
      <rPr>
        <b/>
        <i/>
        <sz val="9"/>
        <color rgb="FF8B0000"/>
        <rFont val="Times New Roman"/>
        <family val="1"/>
      </rPr>
      <t>(9.57.2) 110 mm diameter</t>
    </r>
  </si>
  <si>
    <t>mtr</t>
  </si>
  <si>
    <t>Total (mtr)</t>
  </si>
  <si>
    <t>9.58.5.2</t>
  </si>
  <si>
    <r>
      <t xml:space="preserve">(9.58) Hoisting and Roofing RAIN WATER SPOUTS AND PIPES Providing and fixing on wall face Unplasticised - PVC moulded fittings/ accessories for Unplasticised Rigid PVC rain water pipes conforming to IS : 13592 Type A, including jointing with seal ring conforming to IS : 5382, leaving 10 mm gap for thermal expansion.
</t>
    </r>
    <r>
      <rPr>
        <b/>
        <i/>
        <sz val="8"/>
        <color rgb="FF800080"/>
        <rFont val="Times New Roman"/>
        <family val="1"/>
      </rPr>
      <t>(9.58.5.2) Bend 87.5�  110 mm bend</t>
    </r>
  </si>
  <si>
    <t>9.59.2</t>
  </si>
  <si>
    <r>
      <t xml:space="preserve">(9.59) Hoisting and Roofing RAIN WATER SPOUTS AND PIPES Providing and fixing Unplasticised -PVC pipe clips of approved design to Unplasticised - PVC rain water pipes by means of 50x50x50 mm hard wood plugs, screwed with M.S. screws of required length, including cutting brick work and fixing in cement mortar 1:4 (1 cement : 4 coarse sand) and making good the wall etc. complete.
</t>
    </r>
    <r>
      <rPr>
        <b/>
        <i/>
        <sz val="9"/>
        <color rgb="FF8B0000"/>
        <rFont val="Times New Roman"/>
        <family val="1"/>
      </rPr>
      <t>(9.59.2) 110 mm</t>
    </r>
  </si>
  <si>
    <t>12.36.1</t>
  </si>
  <si>
    <r>
      <t xml:space="preserve">(12.36) Wood Work, PVC and Aluminum Door and Windows FLUSH DOOR SHUTTERS Providing and fixing ISI marked flush door shutters conforming to IS : 2202 (Part I) decorative type, core of block board construction with frame of 1st class hard wood and well matched teak 3 ply veneering with vertical grains or cross bands and face veneers on both faces of shutters.
</t>
    </r>
    <r>
      <rPr>
        <b/>
        <i/>
        <sz val="9"/>
        <color rgb="FF8B0000"/>
        <rFont val="Times New Roman"/>
        <family val="1"/>
      </rPr>
      <t>(12.36.1) 35 mm thick including ISI marked Stainless Steel butt hinges with necessary screws</t>
    </r>
  </si>
  <si>
    <t>12.98.2</t>
  </si>
  <si>
    <r>
      <t xml:space="preserve">(12.98) Wood Work, PVC and Aluminum Door and Windows ANODISED ALUMINIUM FITTINGS (ALL FITTINGS SHALL BE ISI MARKED) Providing and fixing aluminium sliding door bolts, ISI marked anodised (anodic coating not less than grade AC 10 as per IS : 1868), transparent or dyed to required colour or shade, with nuts and screws etc. complete :
</t>
    </r>
    <r>
      <rPr>
        <b/>
        <i/>
        <sz val="9"/>
        <color rgb="FF8B0000"/>
        <rFont val="Times New Roman"/>
        <family val="1"/>
      </rPr>
      <t>(12.98.2) 250x16 mm</t>
    </r>
  </si>
  <si>
    <t>nos</t>
  </si>
  <si>
    <t>12.99.4</t>
  </si>
  <si>
    <r>
      <t xml:space="preserve">(12.99) Wood Work, PVC and Aluminum Door and Windows ANODISED ALUMINIUM FITTINGS (ALL FITTINGS SHALL BE ISI MARKED) Providing and fixing aluminium tower bolts, ISI marked, anodised (anodic coating not less than grade AC 10 as per IS : 1868 ) transparent or dyed to required colour or shade, with necessary screws etc. complete :
</t>
    </r>
    <r>
      <rPr>
        <b/>
        <i/>
        <sz val="9"/>
        <color rgb="FF8B0000"/>
        <rFont val="Times New Roman"/>
        <family val="1"/>
      </rPr>
      <t>(12.99.4) 150x10 mm</t>
    </r>
  </si>
  <si>
    <t>11.76</t>
  </si>
  <si>
    <t>(11.76) Finishing Works INTERIOR FINISHING Preparation of ply wood surface for painting including sand papering the surface and applying filling with approved quality filler consisting of white lead, linseed oil, varnish and chalk mitti including finishing the surface to required finish complete.</t>
  </si>
  <si>
    <t>For both side solid door and zali door take 1.6 each side</t>
  </si>
  <si>
    <t>11.77</t>
  </si>
  <si>
    <t>(11.77) Finishing Works INTERIOR FINISHING Applying pink primer or aluminium priming coat on wood work including preparation of surface, Knotting and stopping etc.</t>
  </si>
  <si>
    <t>Area same as surface preparation</t>
  </si>
  <si>
    <t>11.78</t>
  </si>
  <si>
    <t>(11.78) Finishing Works INTERIOR FINISHING Painting two coats excluding priming coat with synthetic enamel paint in all shades on new wood work or metallic or plastered or concrete surfaces to give an even shade.</t>
  </si>
  <si>
    <t>area same as priming coat</t>
  </si>
  <si>
    <t>22.1.3</t>
  </si>
  <si>
    <r>
      <t xml:space="preserve">(22.1) Sanitary Installations WASH BASINS, KITCHEN SINKS AND HARDWARES Providing and fixing wash basin with C.I. brackets, 15 mm C.P. brass pillar taps, 32 mm C.P. brass waste of standard pattern, including painting of fittings and brackets, cutting and making good the walls wherever require:
</t>
    </r>
    <r>
      <rPr>
        <b/>
        <i/>
        <sz val="9"/>
        <color rgb="FF8B0000"/>
        <rFont val="Times New Roman"/>
        <family val="1"/>
      </rPr>
      <t>(22.1.3) White vitreous chinaware Wash basin size 550x400 mm with a pair of 15 mm C.P. brass pillar taps</t>
    </r>
  </si>
  <si>
    <t>22.22.1</t>
  </si>
  <si>
    <r>
      <t xml:space="preserve">(22.22) Sanitary Installations WCs, URINALS AND URINAL PARTITIONS Providing and fixing water closet squatting pan (Indian type W.C. pan ) with 100 mm sand cast Iron P or S trap, 10 litre low level white P.V.C. flushing cistern, including flush pipe, with manually controlled device (handle lever) conforming to IS : 7231, with all fittings and fixtures complete, including cutting and making good the walls and floors wherever required:
</t>
    </r>
    <r>
      <rPr>
        <b/>
        <i/>
        <sz val="9"/>
        <color rgb="FF8B0000"/>
        <rFont val="Times New Roman"/>
        <family val="1"/>
      </rPr>
      <t>(22.22.1) White vitreous chinaware Orissa pattern W.C. pan of size 580x440 mm with integral type foot rests</t>
    </r>
  </si>
  <si>
    <t>22.24.1</t>
  </si>
  <si>
    <r>
      <t xml:space="preserve">(22.24) Sanitary Installations WCs, URINALS AND URINAL PARTITIONS Providing and fixing white vitreous chinaware pedestal type water closet (European type) with seat and lid, 10 litre low level white vitreous chinaware flushing cistern and C.P. flush bend with fittings and C.I. brackets, 40 mm flush bend, overflow arrangement with specials of standard make and mosquito proof coupling of approved municipal design complete, including painting of fittings and brackets, cutting and making good the walls and floors wherever required :
</t>
    </r>
    <r>
      <rPr>
        <b/>
        <i/>
        <sz val="9"/>
        <color rgb="FF8B0000"/>
        <rFont val="Times New Roman"/>
        <family val="1"/>
      </rPr>
      <t>(22.24.1) W.C. pan with ISI marked white solid plastic seat and lid</t>
    </r>
  </si>
  <si>
    <t>22.38</t>
  </si>
  <si>
    <t>(22.38) Sanitary Installations WCs, URINALS AND URINAL PARTITIONS Providing and fixing 8 mm dia C.P. / S.S. Jet with flexible tube up to 1 metre long with S.S. triangular plate to European type W.C. of quality and make as approved by Engineer - in - charge.</t>
  </si>
  <si>
    <t>22.25.2</t>
  </si>
  <si>
    <r>
      <t xml:space="preserve">(22.25) Sanitary Installations WCs, URINALS AND URINAL PARTITIONS Providing and fixing white vitreous chinaware flat back or wall corner type lipped front urinal basin of 430x260x350 mm and 340x410x265 mm sizes respectively with flushing cistern with standard flush pipe and C.P. brass spreaders with brass unions and G.I clamps complete, including painting of fittings and brackets, cutting and making good the walls and floors wherever required :
</t>
    </r>
    <r>
      <rPr>
        <b/>
        <i/>
        <sz val="9"/>
        <color rgb="FF8B0000"/>
        <rFont val="Times New Roman"/>
        <family val="1"/>
      </rPr>
      <t>(22.25.2) One urinal basin with manually operated 5 litres PVC cistern and manually operated stop cock/ angle valve</t>
    </r>
  </si>
  <si>
    <t>22.82.1</t>
  </si>
  <si>
    <r>
      <t xml:space="preserve">(22.82) Sanitary Installations SEWERAGE DISPOSAL SYSTEMS Cutting holes up to 30x30 cm in walls including making good the same:
</t>
    </r>
    <r>
      <rPr>
        <b/>
        <i/>
        <sz val="9"/>
        <color rgb="FF8B0000"/>
        <rFont val="Times New Roman"/>
        <family val="1"/>
      </rPr>
      <t>(22.82.1) With common burnt clay non-modular bricks</t>
    </r>
  </si>
  <si>
    <t>22.86.1</t>
  </si>
  <si>
    <r>
      <t xml:space="preserve">(22.86) Sanitary Installations C.P.V.C. PIPES Providing and fixing Chlorinated Polyvinyl Chloride (CPVC) pipes, having thermal stability for hot and cold water supply, including all CPVC plain and brass threaded fittings, i/c fixing the pipe with clamps at 1.00 m spacing. This includes jointing of pipes and fittings with one step CPVC solvent cement and the cost of cutting chases and making good the same including testing of joints complete as per direction of Engineer in Charge.
</t>
    </r>
    <r>
      <rPr>
        <b/>
        <i/>
        <sz val="9"/>
        <color rgb="FF8B0000"/>
        <rFont val="Times New Roman"/>
        <family val="1"/>
      </rPr>
      <t>(22.86.1) 15 mm nominal outer dia Pipes</t>
    </r>
  </si>
  <si>
    <t>22.86.2</t>
  </si>
  <si>
    <r>
      <t xml:space="preserve">(22.86) Sanitary Installations C.P.V.C. PIPES Providing and fixing Chlorinated Polyvinyl Chloride (CPVC) pipes, having thermal stability for hot and cold water supply, including all CPVC plain and brass threaded fittings, i/c fixing the pipe with clamps at 1.00 m spacing. This includes jointing of pipes and fittings with one step CPVC solvent cement and the cost of cutting chases and making good the same including testing of joints complete as per direction of Engineer in Charge.
</t>
    </r>
    <r>
      <rPr>
        <b/>
        <i/>
        <sz val="9"/>
        <color rgb="FF8B0000"/>
        <rFont val="Times New Roman"/>
        <family val="1"/>
      </rPr>
      <t>(22.86.2) 20 mm nominal outer dia Pipes</t>
    </r>
  </si>
  <si>
    <t>22.181</t>
  </si>
  <si>
    <t>(22.181) Sanitary Installations LOFT AND TERRACE WATER TANKS Providing and placing on terrace (at all floor levels) polyethylene water storage tank, IS : 12701 marked, with cover and suitable locking arrangement and making necessary holes for inlet, outlet and overflow pipes but without fittings and the base support for tank.</t>
  </si>
  <si>
    <t>Liter</t>
  </si>
  <si>
    <t>Total (Liter)</t>
  </si>
  <si>
    <t>Total (liter)</t>
  </si>
  <si>
    <t>Litre</t>
  </si>
  <si>
    <t>22.222.2.2</t>
  </si>
  <si>
    <r>
      <t xml:space="preserve">(22.222) Sanitary Installations HDPE pipes for Drainage Providing and fixing in position singel socket SWR UPVC soil waste or antisyphonage pipes as per IS 13592 of E.D.C manufacture or of any other reputed firm including cutting, jointing, wastage, but excluding cost of jointing.
</t>
    </r>
    <r>
      <rPr>
        <b/>
        <i/>
        <sz val="8"/>
        <color rgb="FF800080"/>
        <rFont val="Times New Roman"/>
        <family val="1"/>
      </rPr>
      <t>(22.222.2.2) Single Socket Type B  110mm o/d SWR UPVC pipe lines laid complete</t>
    </r>
  </si>
  <si>
    <t>22.96.1</t>
  </si>
  <si>
    <r>
      <t xml:space="preserve">(22.96) Sanitary Installations BRASS FITTINGS Providing and fixing brass bib cock of approved quality :
</t>
    </r>
    <r>
      <rPr>
        <b/>
        <i/>
        <sz val="9"/>
        <color rgb="FF8B0000"/>
        <rFont val="Times New Roman"/>
        <family val="1"/>
      </rPr>
      <t>(22.96.1) 15 mm nominal bore</t>
    </r>
  </si>
  <si>
    <t>each</t>
  </si>
  <si>
    <t>Total (each)</t>
  </si>
  <si>
    <t>End</t>
  </si>
  <si>
    <t>Total</t>
  </si>
  <si>
    <t>Add 18% GST</t>
  </si>
  <si>
    <t>Total Amount</t>
  </si>
  <si>
    <t>Add 10% esclanation</t>
  </si>
  <si>
    <t>Add 1% Contigency</t>
  </si>
  <si>
    <t>GRAND TOTAL</t>
  </si>
  <si>
    <t xml:space="preserve">Say Rs.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</si>
</sst>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00"/>
    <numFmt numFmtId="165" formatCode="#,##0;\-#,##0;&quot;&quot;"/>
    <numFmt numFmtId="166" formatCode="_(* #,##0_);_(* \(#,##0\);_(* &quot;-&quot;??_);_(@_)"/>
    <numFmt numFmtId="167" formatCode="#,##0.000"/>
  </numFmts>
  <fonts count="22" x14ac:knownFonts="1">
    <font>
      <sz val="11"/>
      <color theme="1"/>
      <name val="Calibri"/>
      <family val="2"/>
      <scheme val="minor"/>
    </font>
    <font>
      <b/>
      <sz val="11"/>
      <color theme="1"/>
      <name val="Calibri"/>
      <family val="2"/>
      <scheme val="minor"/>
    </font>
    <font>
      <b/>
      <sz val="20"/>
      <name val="Times New Roman"/>
      <family val="1"/>
    </font>
    <font>
      <sz val="12"/>
      <name val="Times New Roman"/>
      <family val="1"/>
    </font>
    <font>
      <b/>
      <sz val="14"/>
      <name val="Times New Roman"/>
      <family val="1"/>
    </font>
    <font>
      <b/>
      <sz val="12"/>
      <name val="Times New Roman"/>
      <family val="1"/>
    </font>
    <font>
      <b/>
      <i/>
      <sz val="10"/>
      <color rgb="FF006400"/>
      <name val="Times New Roman"/>
      <family val="1"/>
    </font>
    <font>
      <b/>
      <i/>
      <sz val="9"/>
      <color rgb="FF8B0000"/>
      <name val="Times New Roman"/>
      <family val="1"/>
    </font>
    <font>
      <b/>
      <i/>
      <sz val="12"/>
      <color rgb="FFFF0000"/>
      <name val="Times New Roman"/>
      <family val="1"/>
    </font>
    <font>
      <b/>
      <sz val="12"/>
      <color rgb="FF00B050"/>
      <name val="Times New Roman"/>
      <family val="1"/>
    </font>
    <font>
      <b/>
      <sz val="12"/>
      <color rgb="FFFF0000"/>
      <name val="Times New Roman"/>
      <family val="1"/>
    </font>
    <font>
      <b/>
      <sz val="12"/>
      <color theme="1"/>
      <name val="Times New Roman"/>
      <family val="1"/>
    </font>
    <font>
      <b/>
      <i/>
      <sz val="8"/>
      <color rgb="FF800080"/>
      <name val="Times New Roman"/>
      <family val="1"/>
    </font>
    <font>
      <sz val="12"/>
      <color rgb="FFFF0000"/>
      <name val="Times New Roman"/>
      <family val="1"/>
    </font>
    <font>
      <sz val="11"/>
      <name val="Times New Roman"/>
      <family val="1"/>
    </font>
    <font>
      <b/>
      <sz val="11"/>
      <name val="Times New Roman"/>
      <family val="1"/>
    </font>
    <font>
      <sz val="10"/>
      <name val="Arial"/>
      <family val="2"/>
    </font>
    <font>
      <b/>
      <sz val="11"/>
      <color rgb="FF000000"/>
      <name val="Times New Roman"/>
      <family val="1"/>
    </font>
    <font>
      <b/>
      <sz val="11"/>
      <color rgb="FF000000"/>
      <name val="Calibri"/>
      <family val="2"/>
      <scheme val="minor"/>
    </font>
    <font>
      <b/>
      <sz val="12"/>
      <color rgb="FF000000"/>
      <name val="Times New Roman"/>
      <family val="1"/>
    </font>
    <font>
      <b/>
      <sz val="11"/>
      <color theme="1"/>
      <name val="Times New Roman"/>
      <family val="1"/>
    </font>
    <font>
      <b/>
      <i/>
      <sz val="18"/>
      <color rgb="FF000000"/>
      <name val="Times New Roman"/>
      <family val="1"/>
    </font>
  </fonts>
  <fills count="12">
    <fill>
      <patternFill patternType="none"/>
    </fill>
    <fill>
      <patternFill patternType="gray125"/>
    </fill>
    <fill>
      <patternFill patternType="solid">
        <fgColor rgb="FFFFFFC8"/>
        <bgColor indexed="64"/>
      </patternFill>
    </fill>
    <fill>
      <patternFill patternType="solid">
        <fgColor rgb="FFC8FFC8"/>
        <bgColor indexed="64"/>
      </patternFill>
    </fill>
    <fill>
      <patternFill patternType="solid">
        <fgColor rgb="FFFFE6C8"/>
        <bgColor indexed="64"/>
      </patternFill>
    </fill>
    <fill>
      <patternFill patternType="solid">
        <fgColor rgb="FFDCFFDC"/>
        <bgColor indexed="64"/>
      </patternFill>
    </fill>
    <fill>
      <patternFill patternType="solid">
        <fgColor rgb="FFDCE6FF"/>
        <bgColor indexed="64"/>
      </patternFill>
    </fill>
    <fill>
      <patternFill patternType="solid">
        <fgColor rgb="FFF0F0F0"/>
        <bgColor indexed="64"/>
      </patternFill>
    </fill>
    <fill>
      <patternFill patternType="solid">
        <fgColor rgb="FFFFE699"/>
        <bgColor indexed="64"/>
      </patternFill>
    </fill>
    <fill>
      <patternFill patternType="solid">
        <fgColor rgb="FFFFFFFF"/>
        <bgColor indexed="64"/>
      </patternFill>
    </fill>
    <fill>
      <patternFill patternType="solid">
        <fgColor theme="0"/>
        <bgColor indexed="64"/>
      </patternFill>
    </fill>
    <fill>
      <patternFill patternType="solid">
        <fgColor rgb="FFFFFF99"/>
        <bgColor indexed="64"/>
      </patternFill>
    </fill>
  </fills>
  <borders count="22">
    <border>
      <left/>
      <right/>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ck">
        <color indexed="64"/>
      </bottom>
      <diagonal/>
    </border>
    <border>
      <left/>
      <right/>
      <top style="thin">
        <color indexed="64"/>
      </top>
      <bottom style="thick">
        <color indexed="64"/>
      </bottom>
      <diagonal/>
    </border>
    <border>
      <left/>
      <right style="thin">
        <color indexed="64"/>
      </right>
      <top style="thin">
        <color indexed="64"/>
      </top>
      <bottom style="thick">
        <color indexed="64"/>
      </bottom>
      <diagonal/>
    </border>
    <border>
      <left style="thin">
        <color indexed="64"/>
      </left>
      <right style="thin">
        <color indexed="64"/>
      </right>
      <top style="thick">
        <color indexed="64"/>
      </top>
      <bottom style="thin">
        <color indexed="64"/>
      </bottom>
      <diagonal/>
    </border>
    <border>
      <left style="thin">
        <color indexed="64"/>
      </left>
      <right style="thick">
        <color indexed="64"/>
      </right>
      <top style="thick">
        <color indexed="64"/>
      </top>
      <bottom style="thin">
        <color indexed="64"/>
      </bottom>
      <diagonal/>
    </border>
    <border>
      <left style="thin">
        <color indexed="64"/>
      </left>
      <right style="thin">
        <color indexed="64"/>
      </right>
      <top style="thin">
        <color indexed="64"/>
      </top>
      <bottom style="thin">
        <color indexed="64"/>
      </bottom>
      <diagonal/>
    </border>
    <border>
      <left/>
      <right style="thick">
        <color indexed="64"/>
      </right>
      <top style="thin">
        <color indexed="64"/>
      </top>
      <bottom style="thin">
        <color indexed="64"/>
      </bottom>
      <diagonal/>
    </border>
    <border>
      <left style="thick">
        <color indexed="64"/>
      </left>
      <right style="thin">
        <color indexed="64"/>
      </right>
      <top style="thin">
        <color indexed="64"/>
      </top>
      <bottom style="thin">
        <color indexed="64"/>
      </bottom>
      <diagonal/>
    </border>
    <border>
      <left style="thin">
        <color indexed="64"/>
      </left>
      <right style="thick">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top/>
      <bottom style="thin">
        <color indexed="64"/>
      </bottom>
      <diagonal/>
    </border>
    <border>
      <left/>
      <right style="thick">
        <color indexed="64"/>
      </right>
      <top/>
      <bottom style="thin">
        <color indexed="64"/>
      </bottom>
      <diagonal/>
    </border>
    <border>
      <left style="thick">
        <color indexed="64"/>
      </left>
      <right/>
      <top style="thin">
        <color indexed="64"/>
      </top>
      <bottom style="thin">
        <color indexed="64"/>
      </bottom>
      <diagonal/>
    </border>
    <border>
      <left style="thick">
        <color indexed="64"/>
      </left>
      <right/>
      <top/>
      <bottom style="thin">
        <color indexed="64"/>
      </bottom>
      <diagonal/>
    </border>
    <border>
      <left style="thick">
        <color indexed="64"/>
      </left>
      <right/>
      <top style="thin">
        <color indexed="64"/>
      </top>
      <bottom style="thick">
        <color indexed="64"/>
      </bottom>
      <diagonal/>
    </border>
    <border>
      <left/>
      <right style="thick">
        <color indexed="64"/>
      </right>
      <top style="thin">
        <color indexed="64"/>
      </top>
      <bottom style="thick">
        <color indexed="64"/>
      </bottom>
      <diagonal/>
    </border>
  </borders>
  <cellStyleXfs count="2">
    <xf numFmtId="0" fontId="0" fillId="0" borderId="0"/>
    <xf numFmtId="0" fontId="16" fillId="0" borderId="0"/>
  </cellStyleXfs>
  <cellXfs count="266">
    <xf numFmtId="0" fontId="0" fillId="0" borderId="0" xfId="0"/>
    <xf numFmtId="0" fontId="3" fillId="0" borderId="0" xfId="0" applyFont="1" applyProtection="1">
      <protection locked="0"/>
    </xf>
    <xf numFmtId="0" fontId="4" fillId="0" borderId="7" xfId="0" applyFont="1" applyBorder="1" applyAlignment="1">
      <alignment horizontal="center" vertical="center" wrapText="1"/>
    </xf>
    <xf numFmtId="49" fontId="5" fillId="0" borderId="7" xfId="0" applyNumberFormat="1" applyFont="1" applyBorder="1" applyAlignment="1">
      <alignment horizontal="center" vertical="center" wrapText="1"/>
    </xf>
    <xf numFmtId="2" fontId="4" fillId="0" borderId="7" xfId="0" applyNumberFormat="1" applyFont="1" applyBorder="1" applyAlignment="1">
      <alignment horizontal="center" vertical="center" wrapText="1"/>
    </xf>
    <xf numFmtId="1" fontId="4" fillId="0" borderId="8" xfId="0" applyNumberFormat="1" applyFont="1" applyBorder="1" applyAlignment="1">
      <alignment horizontal="center" vertical="center" wrapText="1"/>
    </xf>
    <xf numFmtId="0" fontId="4" fillId="0" borderId="0" xfId="0" applyFont="1" applyProtection="1">
      <protection locked="0"/>
    </xf>
    <xf numFmtId="1" fontId="5" fillId="0" borderId="9" xfId="0" applyNumberFormat="1" applyFont="1" applyBorder="1" applyAlignment="1">
      <alignment horizontal="center" vertical="center"/>
    </xf>
    <xf numFmtId="49" fontId="5" fillId="0" borderId="9" xfId="0" applyNumberFormat="1" applyFont="1" applyBorder="1" applyAlignment="1">
      <alignment horizontal="center" vertical="center"/>
    </xf>
    <xf numFmtId="0" fontId="6" fillId="0" borderId="9" xfId="0" applyFont="1" applyBorder="1" applyAlignment="1">
      <alignment vertical="center" wrapText="1"/>
    </xf>
    <xf numFmtId="0" fontId="3" fillId="0" borderId="1" xfId="0" applyFont="1" applyBorder="1" applyAlignment="1" applyProtection="1">
      <alignment horizontal="center" vertical="center"/>
      <protection locked="0"/>
    </xf>
    <xf numFmtId="0" fontId="3" fillId="0" borderId="2" xfId="0" applyFont="1" applyBorder="1" applyAlignment="1" applyProtection="1">
      <alignment horizontal="center" vertical="center"/>
      <protection locked="0"/>
    </xf>
    <xf numFmtId="2" fontId="3" fillId="0" borderId="2" xfId="0" applyNumberFormat="1" applyFont="1" applyBorder="1" applyAlignment="1" applyProtection="1">
      <alignment horizontal="center" vertical="center"/>
      <protection locked="0"/>
    </xf>
    <xf numFmtId="0" fontId="5" fillId="0" borderId="2" xfId="0" applyFont="1" applyBorder="1" applyAlignment="1" applyProtection="1">
      <alignment horizontal="left" vertical="center"/>
      <protection locked="0"/>
    </xf>
    <xf numFmtId="0" fontId="3" fillId="0" borderId="2" xfId="0" applyFont="1" applyBorder="1" applyAlignment="1" applyProtection="1">
      <alignment horizontal="center" vertical="center" wrapText="1"/>
      <protection locked="0"/>
    </xf>
    <xf numFmtId="0" fontId="5" fillId="0" borderId="2" xfId="0" applyFont="1" applyBorder="1" applyAlignment="1" applyProtection="1">
      <alignment horizontal="right" vertical="center"/>
      <protection locked="0"/>
    </xf>
    <xf numFmtId="1" fontId="5" fillId="0" borderId="10" xfId="0" applyNumberFormat="1" applyFont="1" applyBorder="1" applyAlignment="1" applyProtection="1">
      <alignment horizontal="center" vertical="center"/>
      <protection locked="0"/>
    </xf>
    <xf numFmtId="1" fontId="5" fillId="0" borderId="11" xfId="0" applyNumberFormat="1" applyFont="1" applyBorder="1" applyAlignment="1">
      <alignment horizontal="center" vertical="center"/>
    </xf>
    <xf numFmtId="0" fontId="5" fillId="0" borderId="9" xfId="0" applyFont="1" applyBorder="1" applyAlignment="1">
      <alignment horizontal="center" vertical="center"/>
    </xf>
    <xf numFmtId="0" fontId="3" fillId="0" borderId="9" xfId="0" applyFont="1" applyBorder="1" applyAlignment="1">
      <alignment vertical="center"/>
    </xf>
    <xf numFmtId="0" fontId="3" fillId="0" borderId="9" xfId="0" applyFont="1" applyBorder="1" applyAlignment="1" applyProtection="1">
      <alignment horizontal="center" vertical="center"/>
      <protection locked="0"/>
    </xf>
    <xf numFmtId="2" fontId="3" fillId="0" borderId="9" xfId="0" applyNumberFormat="1" applyFont="1" applyBorder="1" applyAlignment="1" applyProtection="1">
      <alignment horizontal="center" vertical="center"/>
      <protection locked="0"/>
    </xf>
    <xf numFmtId="164" fontId="3" fillId="2" borderId="9" xfId="0" applyNumberFormat="1" applyFont="1" applyFill="1" applyBorder="1" applyAlignment="1">
      <alignment horizontal="center" vertical="center"/>
    </xf>
    <xf numFmtId="0" fontId="5" fillId="0" borderId="9" xfId="0" applyFont="1" applyBorder="1" applyAlignment="1" applyProtection="1">
      <alignment horizontal="left" vertical="center"/>
      <protection locked="0"/>
    </xf>
    <xf numFmtId="0" fontId="3" fillId="3" borderId="9" xfId="0" applyFont="1" applyFill="1" applyBorder="1" applyAlignment="1" applyProtection="1">
      <alignment horizontal="center" vertical="center" wrapText="1"/>
      <protection locked="0"/>
    </xf>
    <xf numFmtId="0" fontId="5" fillId="4" borderId="9" xfId="0" applyFont="1" applyFill="1" applyBorder="1" applyAlignment="1" applyProtection="1">
      <alignment horizontal="right" vertical="center"/>
      <protection locked="0"/>
    </xf>
    <xf numFmtId="1" fontId="5" fillId="0" borderId="12" xfId="0" applyNumberFormat="1" applyFont="1" applyBorder="1" applyAlignment="1" applyProtection="1">
      <alignment horizontal="center" vertical="center"/>
      <protection locked="0"/>
    </xf>
    <xf numFmtId="1" fontId="5" fillId="5" borderId="11" xfId="0" applyNumberFormat="1" applyFont="1" applyFill="1" applyBorder="1" applyAlignment="1">
      <alignment horizontal="center" vertical="center"/>
    </xf>
    <xf numFmtId="0" fontId="5" fillId="5" borderId="9" xfId="0" applyFont="1" applyFill="1" applyBorder="1" applyAlignment="1">
      <alignment horizontal="center" vertical="center"/>
    </xf>
    <xf numFmtId="0" fontId="5" fillId="5" borderId="9" xfId="0" applyFont="1" applyFill="1" applyBorder="1" applyAlignment="1">
      <alignment vertical="center"/>
    </xf>
    <xf numFmtId="0" fontId="5" fillId="5" borderId="9" xfId="0" applyFont="1" applyFill="1" applyBorder="1" applyAlignment="1" applyProtection="1">
      <alignment horizontal="center" vertical="center"/>
      <protection locked="0"/>
    </xf>
    <xf numFmtId="2" fontId="5" fillId="5" borderId="9" xfId="0" applyNumberFormat="1" applyFont="1" applyFill="1" applyBorder="1" applyAlignment="1">
      <alignment horizontal="center" vertical="center"/>
    </xf>
    <xf numFmtId="0" fontId="5" fillId="5" borderId="9" xfId="0" applyFont="1" applyFill="1" applyBorder="1" applyAlignment="1" applyProtection="1">
      <alignment horizontal="left" vertical="center"/>
      <protection locked="0"/>
    </xf>
    <xf numFmtId="0" fontId="5" fillId="5" borderId="9" xfId="0" applyFont="1" applyFill="1" applyBorder="1" applyAlignment="1" applyProtection="1">
      <alignment horizontal="center" vertical="center" wrapText="1"/>
      <protection locked="0"/>
    </xf>
    <xf numFmtId="165" fontId="5" fillId="5" borderId="9" xfId="0" applyNumberFormat="1" applyFont="1" applyFill="1" applyBorder="1" applyAlignment="1">
      <alignment horizontal="right" vertical="center"/>
    </xf>
    <xf numFmtId="1" fontId="5" fillId="5" borderId="12" xfId="0" applyNumberFormat="1" applyFont="1" applyFill="1" applyBorder="1" applyAlignment="1" applyProtection="1">
      <alignment horizontal="center" vertical="center"/>
      <protection locked="0"/>
    </xf>
    <xf numFmtId="1" fontId="5" fillId="6" borderId="9" xfId="0" applyNumberFormat="1" applyFont="1" applyFill="1" applyBorder="1" applyAlignment="1">
      <alignment horizontal="center" vertical="center"/>
    </xf>
    <xf numFmtId="0" fontId="5" fillId="6" borderId="9" xfId="0" applyFont="1" applyFill="1" applyBorder="1" applyAlignment="1">
      <alignment horizontal="center" vertical="center"/>
    </xf>
    <xf numFmtId="0" fontId="5" fillId="6" borderId="9" xfId="0" applyFont="1" applyFill="1" applyBorder="1" applyAlignment="1">
      <alignment vertical="center"/>
    </xf>
    <xf numFmtId="0" fontId="5" fillId="6" borderId="9" xfId="0" applyFont="1" applyFill="1" applyBorder="1" applyAlignment="1" applyProtection="1">
      <alignment horizontal="center" vertical="center"/>
      <protection locked="0"/>
    </xf>
    <xf numFmtId="164" fontId="5" fillId="6" borderId="9" xfId="0" applyNumberFormat="1" applyFont="1" applyFill="1" applyBorder="1" applyAlignment="1">
      <alignment horizontal="center" vertical="center"/>
    </xf>
    <xf numFmtId="0" fontId="5" fillId="6" borderId="9" xfId="0" applyFont="1" applyFill="1" applyBorder="1" applyAlignment="1" applyProtection="1">
      <alignment horizontal="left" vertical="center" wrapText="1"/>
      <protection locked="0"/>
    </xf>
    <xf numFmtId="0" fontId="5" fillId="6" borderId="9" xfId="0" applyFont="1" applyFill="1" applyBorder="1" applyAlignment="1" applyProtection="1">
      <alignment horizontal="center" vertical="center" wrapText="1"/>
      <protection locked="0"/>
    </xf>
    <xf numFmtId="0" fontId="5" fillId="6" borderId="9" xfId="0" applyFont="1" applyFill="1" applyBorder="1" applyAlignment="1">
      <alignment horizontal="right" vertical="center"/>
    </xf>
    <xf numFmtId="166" fontId="5" fillId="6" borderId="9" xfId="0" applyNumberFormat="1" applyFont="1" applyFill="1" applyBorder="1" applyAlignment="1">
      <alignment horizontal="center" vertical="center"/>
    </xf>
    <xf numFmtId="1" fontId="5" fillId="7" borderId="1" xfId="0" applyNumberFormat="1" applyFont="1" applyFill="1" applyBorder="1" applyAlignment="1">
      <alignment horizontal="center" vertical="center"/>
    </xf>
    <xf numFmtId="0" fontId="5" fillId="7" borderId="2" xfId="0" applyFont="1" applyFill="1" applyBorder="1" applyAlignment="1">
      <alignment horizontal="center" vertical="center"/>
    </xf>
    <xf numFmtId="0" fontId="3" fillId="7" borderId="2" xfId="0" applyFont="1" applyFill="1" applyBorder="1" applyAlignment="1">
      <alignment vertical="center"/>
    </xf>
    <xf numFmtId="0" fontId="3" fillId="7" borderId="2" xfId="0" applyFont="1" applyFill="1" applyBorder="1" applyAlignment="1" applyProtection="1">
      <alignment horizontal="center" vertical="center"/>
      <protection locked="0"/>
    </xf>
    <xf numFmtId="2" fontId="3" fillId="7" borderId="2" xfId="0" applyNumberFormat="1" applyFont="1" applyFill="1" applyBorder="1" applyAlignment="1" applyProtection="1">
      <alignment horizontal="center" vertical="center"/>
      <protection locked="0"/>
    </xf>
    <xf numFmtId="0" fontId="5" fillId="7" borderId="2" xfId="0" applyFont="1" applyFill="1" applyBorder="1" applyAlignment="1" applyProtection="1">
      <alignment horizontal="left" vertical="center"/>
      <protection locked="0"/>
    </xf>
    <xf numFmtId="0" fontId="3" fillId="7" borderId="2" xfId="0" applyFont="1" applyFill="1" applyBorder="1" applyAlignment="1" applyProtection="1">
      <alignment horizontal="center" vertical="center" wrapText="1"/>
      <protection locked="0"/>
    </xf>
    <xf numFmtId="0" fontId="5" fillId="7" borderId="2" xfId="0" applyFont="1" applyFill="1" applyBorder="1" applyAlignment="1" applyProtection="1">
      <alignment horizontal="right" vertical="center"/>
      <protection locked="0"/>
    </xf>
    <xf numFmtId="1" fontId="5" fillId="7" borderId="3" xfId="0" applyNumberFormat="1" applyFont="1" applyFill="1" applyBorder="1" applyAlignment="1" applyProtection="1">
      <alignment horizontal="center" vertical="center"/>
      <protection locked="0"/>
    </xf>
    <xf numFmtId="49" fontId="5" fillId="0" borderId="9" xfId="0" applyNumberFormat="1" applyFont="1" applyBorder="1" applyAlignment="1">
      <alignment horizontal="center" vertical="center" wrapText="1"/>
    </xf>
    <xf numFmtId="0" fontId="6" fillId="0" borderId="9" xfId="0" applyFont="1" applyBorder="1" applyAlignment="1">
      <alignment vertical="top" wrapText="1"/>
    </xf>
    <xf numFmtId="0" fontId="3" fillId="0" borderId="0" xfId="0" applyFont="1" applyAlignment="1" applyProtection="1">
      <alignment horizontal="center"/>
      <protection locked="0"/>
    </xf>
    <xf numFmtId="2" fontId="3" fillId="2" borderId="9" xfId="0" applyNumberFormat="1" applyFont="1" applyFill="1" applyBorder="1" applyAlignment="1" applyProtection="1">
      <alignment horizontal="center" vertical="center"/>
      <protection locked="0"/>
    </xf>
    <xf numFmtId="0" fontId="8" fillId="0" borderId="9" xfId="0" applyFont="1" applyBorder="1" applyAlignment="1">
      <alignment vertical="center"/>
    </xf>
    <xf numFmtId="0" fontId="5" fillId="5" borderId="9" xfId="0" applyFont="1" applyFill="1" applyBorder="1" applyAlignment="1" applyProtection="1">
      <alignment horizontal="right" vertical="center"/>
      <protection locked="0"/>
    </xf>
    <xf numFmtId="1" fontId="5" fillId="6" borderId="11" xfId="0" applyNumberFormat="1" applyFont="1" applyFill="1" applyBorder="1" applyAlignment="1">
      <alignment horizontal="center" vertical="center"/>
    </xf>
    <xf numFmtId="0" fontId="5" fillId="6" borderId="9" xfId="0" applyFont="1" applyFill="1" applyBorder="1" applyAlignment="1" applyProtection="1">
      <alignment horizontal="left" vertical="center"/>
      <protection locked="0"/>
    </xf>
    <xf numFmtId="0" fontId="5" fillId="6" borderId="9" xfId="0" applyFont="1" applyFill="1" applyBorder="1" applyAlignment="1" applyProtection="1">
      <alignment horizontal="right" vertical="center"/>
      <protection locked="0"/>
    </xf>
    <xf numFmtId="1" fontId="5" fillId="6" borderId="12" xfId="0" applyNumberFormat="1" applyFont="1" applyFill="1" applyBorder="1" applyAlignment="1" applyProtection="1">
      <alignment horizontal="center" vertical="center"/>
      <protection locked="0"/>
    </xf>
    <xf numFmtId="1" fontId="5" fillId="8" borderId="9" xfId="0" applyNumberFormat="1" applyFont="1" applyFill="1" applyBorder="1" applyAlignment="1">
      <alignment horizontal="center" vertical="center"/>
    </xf>
    <xf numFmtId="0" fontId="5" fillId="8" borderId="9" xfId="0" applyFont="1" applyFill="1" applyBorder="1" applyAlignment="1">
      <alignment horizontal="center" vertical="center"/>
    </xf>
    <xf numFmtId="0" fontId="5" fillId="8" borderId="9" xfId="0" applyFont="1" applyFill="1" applyBorder="1" applyAlignment="1">
      <alignment vertical="center"/>
    </xf>
    <xf numFmtId="0" fontId="5" fillId="8" borderId="9" xfId="0" applyFont="1" applyFill="1" applyBorder="1" applyAlignment="1" applyProtection="1">
      <alignment horizontal="center" vertical="center"/>
      <protection locked="0"/>
    </xf>
    <xf numFmtId="164" fontId="5" fillId="8" borderId="9" xfId="0" applyNumberFormat="1" applyFont="1" applyFill="1" applyBorder="1" applyAlignment="1">
      <alignment horizontal="center" vertical="center"/>
    </xf>
    <xf numFmtId="0" fontId="5" fillId="8" borderId="9" xfId="0" applyFont="1" applyFill="1" applyBorder="1" applyAlignment="1" applyProtection="1">
      <alignment horizontal="left" vertical="center"/>
      <protection locked="0"/>
    </xf>
    <xf numFmtId="0" fontId="10" fillId="8" borderId="9" xfId="0" applyFont="1" applyFill="1" applyBorder="1" applyAlignment="1" applyProtection="1">
      <alignment horizontal="center" vertical="center" wrapText="1"/>
      <protection locked="0"/>
    </xf>
    <xf numFmtId="0" fontId="5" fillId="8" borderId="9" xfId="0" applyFont="1" applyFill="1" applyBorder="1" applyAlignment="1" applyProtection="1">
      <alignment horizontal="right" vertical="center"/>
      <protection locked="0"/>
    </xf>
    <xf numFmtId="1" fontId="5" fillId="8" borderId="9" xfId="0" applyNumberFormat="1" applyFont="1" applyFill="1" applyBorder="1" applyAlignment="1" applyProtection="1">
      <alignment horizontal="center" vertical="center"/>
      <protection locked="0"/>
    </xf>
    <xf numFmtId="1" fontId="5" fillId="8" borderId="13" xfId="0" applyNumberFormat="1" applyFont="1" applyFill="1" applyBorder="1" applyAlignment="1">
      <alignment horizontal="center" vertical="center"/>
    </xf>
    <xf numFmtId="0" fontId="5" fillId="8" borderId="13" xfId="0" applyFont="1" applyFill="1" applyBorder="1" applyAlignment="1">
      <alignment horizontal="center" vertical="center"/>
    </xf>
    <xf numFmtId="0" fontId="5" fillId="8" borderId="13" xfId="0" applyFont="1" applyFill="1" applyBorder="1" applyAlignment="1">
      <alignment vertical="center"/>
    </xf>
    <xf numFmtId="0" fontId="5" fillId="8" borderId="13" xfId="0" applyFont="1" applyFill="1" applyBorder="1" applyAlignment="1" applyProtection="1">
      <alignment horizontal="center" vertical="center"/>
      <protection locked="0"/>
    </xf>
    <xf numFmtId="164" fontId="5" fillId="8" borderId="13" xfId="0" applyNumberFormat="1" applyFont="1" applyFill="1" applyBorder="1" applyAlignment="1">
      <alignment horizontal="center" vertical="center"/>
    </xf>
    <xf numFmtId="0" fontId="5" fillId="8" borderId="13" xfId="0" applyFont="1" applyFill="1" applyBorder="1" applyAlignment="1" applyProtection="1">
      <alignment horizontal="left" vertical="center"/>
      <protection locked="0"/>
    </xf>
    <xf numFmtId="0" fontId="10" fillId="8" borderId="13" xfId="0" applyFont="1" applyFill="1" applyBorder="1" applyAlignment="1" applyProtection="1">
      <alignment horizontal="center" vertical="center" wrapText="1"/>
      <protection locked="0"/>
    </xf>
    <xf numFmtId="0" fontId="5" fillId="8" borderId="13" xfId="0" applyFont="1" applyFill="1" applyBorder="1" applyAlignment="1" applyProtection="1">
      <alignment horizontal="right" vertical="center"/>
      <protection locked="0"/>
    </xf>
    <xf numFmtId="1" fontId="5" fillId="8" borderId="13" xfId="0" applyNumberFormat="1" applyFont="1" applyFill="1" applyBorder="1" applyAlignment="1" applyProtection="1">
      <alignment horizontal="center" vertical="center"/>
      <protection locked="0"/>
    </xf>
    <xf numFmtId="0" fontId="0" fillId="7" borderId="1" xfId="0" applyFill="1" applyBorder="1" applyAlignment="1">
      <alignment vertical="center"/>
    </xf>
    <xf numFmtId="0" fontId="1" fillId="7" borderId="2" xfId="0" applyFont="1" applyFill="1" applyBorder="1" applyAlignment="1">
      <alignment horizontal="center" vertical="center"/>
    </xf>
    <xf numFmtId="0" fontId="0" fillId="7" borderId="2" xfId="0" applyFill="1" applyBorder="1" applyAlignment="1">
      <alignment vertical="center"/>
    </xf>
    <xf numFmtId="0" fontId="0" fillId="7" borderId="2" xfId="0" applyFill="1" applyBorder="1" applyAlignment="1">
      <alignment horizontal="center" vertical="center"/>
    </xf>
    <xf numFmtId="0" fontId="1" fillId="7" borderId="2" xfId="0" applyFont="1" applyFill="1" applyBorder="1" applyAlignment="1">
      <alignment vertical="center"/>
    </xf>
    <xf numFmtId="165" fontId="1" fillId="7" borderId="2" xfId="0" applyNumberFormat="1" applyFont="1" applyFill="1" applyBorder="1" applyAlignment="1">
      <alignment horizontal="right" vertical="center"/>
    </xf>
    <xf numFmtId="0" fontId="0" fillId="7" borderId="3" xfId="0" applyFill="1" applyBorder="1" applyAlignment="1">
      <alignment vertical="center"/>
    </xf>
    <xf numFmtId="1" fontId="11" fillId="6" borderId="9" xfId="0" applyNumberFormat="1" applyFont="1" applyFill="1" applyBorder="1" applyAlignment="1">
      <alignment horizontal="center" vertical="center"/>
    </xf>
    <xf numFmtId="0" fontId="1" fillId="6" borderId="9" xfId="0" applyFont="1" applyFill="1" applyBorder="1" applyAlignment="1">
      <alignment horizontal="center" vertical="center"/>
    </xf>
    <xf numFmtId="0" fontId="1" fillId="6" borderId="9" xfId="0" applyFont="1" applyFill="1" applyBorder="1" applyAlignment="1">
      <alignment vertical="center"/>
    </xf>
    <xf numFmtId="167" fontId="1" fillId="6" borderId="9" xfId="0" applyNumberFormat="1" applyFont="1" applyFill="1" applyBorder="1" applyAlignment="1">
      <alignment horizontal="center" vertical="center"/>
    </xf>
    <xf numFmtId="0" fontId="1" fillId="6" borderId="9" xfId="0" applyFont="1" applyFill="1" applyBorder="1" applyAlignment="1">
      <alignment horizontal="left" vertical="center" wrapText="1"/>
    </xf>
    <xf numFmtId="0" fontId="1" fillId="6" borderId="9" xfId="0" applyFont="1" applyFill="1" applyBorder="1" applyAlignment="1">
      <alignment horizontal="center" vertical="center" wrapText="1"/>
    </xf>
    <xf numFmtId="0" fontId="1" fillId="6" borderId="9" xfId="0" applyFont="1" applyFill="1" applyBorder="1" applyAlignment="1">
      <alignment horizontal="right" vertical="center"/>
    </xf>
    <xf numFmtId="166" fontId="1" fillId="6" borderId="9" xfId="0" applyNumberFormat="1" applyFont="1" applyFill="1" applyBorder="1" applyAlignment="1">
      <alignment horizontal="center" vertical="center"/>
    </xf>
    <xf numFmtId="1" fontId="5" fillId="0" borderId="14" xfId="0" applyNumberFormat="1" applyFont="1" applyBorder="1" applyAlignment="1">
      <alignment horizontal="center" vertical="center"/>
    </xf>
    <xf numFmtId="49" fontId="11" fillId="0" borderId="14" xfId="0" applyNumberFormat="1" applyFont="1" applyBorder="1" applyAlignment="1">
      <alignment horizontal="center" vertical="center"/>
    </xf>
    <xf numFmtId="0" fontId="6" fillId="0" borderId="14" xfId="0" applyFont="1" applyBorder="1" applyAlignment="1">
      <alignment vertical="center" wrapText="1"/>
    </xf>
    <xf numFmtId="0" fontId="3" fillId="0" borderId="15" xfId="0" applyFont="1" applyBorder="1" applyAlignment="1" applyProtection="1">
      <alignment horizontal="center" vertical="center"/>
      <protection locked="0"/>
    </xf>
    <xf numFmtId="0" fontId="3" fillId="0" borderId="16" xfId="0" applyFont="1" applyBorder="1" applyAlignment="1" applyProtection="1">
      <alignment horizontal="center" vertical="center"/>
      <protection locked="0"/>
    </xf>
    <xf numFmtId="2" fontId="3" fillId="0" borderId="16" xfId="0" applyNumberFormat="1" applyFont="1" applyBorder="1" applyAlignment="1" applyProtection="1">
      <alignment horizontal="center" vertical="center"/>
      <protection locked="0"/>
    </xf>
    <xf numFmtId="0" fontId="5" fillId="0" borderId="16" xfId="0" applyFont="1" applyBorder="1" applyAlignment="1" applyProtection="1">
      <alignment horizontal="left" vertical="center"/>
      <protection locked="0"/>
    </xf>
    <xf numFmtId="0" fontId="3" fillId="0" borderId="16" xfId="0" applyFont="1" applyBorder="1" applyAlignment="1" applyProtection="1">
      <alignment horizontal="center" vertical="center" wrapText="1"/>
      <protection locked="0"/>
    </xf>
    <xf numFmtId="0" fontId="5" fillId="0" borderId="16" xfId="0" applyFont="1" applyBorder="1" applyAlignment="1" applyProtection="1">
      <alignment horizontal="right" vertical="center"/>
      <protection locked="0"/>
    </xf>
    <xf numFmtId="1" fontId="5" fillId="0" borderId="17" xfId="0" applyNumberFormat="1" applyFont="1" applyBorder="1" applyAlignment="1" applyProtection="1">
      <alignment horizontal="center" vertical="center"/>
      <protection locked="0"/>
    </xf>
    <xf numFmtId="0" fontId="3" fillId="0" borderId="9" xfId="0" applyFont="1" applyBorder="1" applyAlignment="1">
      <alignment vertical="center" wrapText="1"/>
    </xf>
    <xf numFmtId="2" fontId="5" fillId="0" borderId="2" xfId="0" applyNumberFormat="1" applyFont="1" applyBorder="1" applyAlignment="1" applyProtection="1">
      <alignment horizontal="center" vertical="center"/>
      <protection locked="0"/>
    </xf>
    <xf numFmtId="0" fontId="5" fillId="0" borderId="2" xfId="0" applyFont="1" applyBorder="1" applyAlignment="1" applyProtection="1">
      <alignment horizontal="center" vertical="center" wrapText="1"/>
      <protection locked="0"/>
    </xf>
    <xf numFmtId="2" fontId="5" fillId="0" borderId="10" xfId="0" applyNumberFormat="1" applyFont="1" applyBorder="1" applyAlignment="1" applyProtection="1">
      <alignment horizontal="center" vertical="center"/>
      <protection locked="0"/>
    </xf>
    <xf numFmtId="164" fontId="5" fillId="2" borderId="9" xfId="0" applyNumberFormat="1" applyFont="1" applyFill="1" applyBorder="1" applyAlignment="1">
      <alignment horizontal="center" vertical="center"/>
    </xf>
    <xf numFmtId="0" fontId="5" fillId="3" borderId="9" xfId="0" applyFont="1" applyFill="1" applyBorder="1" applyAlignment="1" applyProtection="1">
      <alignment horizontal="center" vertical="center" wrapText="1"/>
      <protection locked="0"/>
    </xf>
    <xf numFmtId="2" fontId="5" fillId="0" borderId="12" xfId="0" applyNumberFormat="1" applyFont="1" applyBorder="1" applyAlignment="1" applyProtection="1">
      <alignment horizontal="center" vertical="center"/>
      <protection locked="0"/>
    </xf>
    <xf numFmtId="2" fontId="5" fillId="5" borderId="12" xfId="0" applyNumberFormat="1" applyFont="1" applyFill="1" applyBorder="1" applyAlignment="1" applyProtection="1">
      <alignment horizontal="center" vertical="center"/>
      <protection locked="0"/>
    </xf>
    <xf numFmtId="164" fontId="5" fillId="5" borderId="9" xfId="0" applyNumberFormat="1" applyFont="1" applyFill="1" applyBorder="1" applyAlignment="1">
      <alignment horizontal="center" vertical="center"/>
    </xf>
    <xf numFmtId="0" fontId="6" fillId="0" borderId="9" xfId="0" applyFont="1" applyBorder="1" applyAlignment="1">
      <alignment horizontal="right" vertical="center" wrapText="1"/>
    </xf>
    <xf numFmtId="1" fontId="5" fillId="0" borderId="18" xfId="0" applyNumberFormat="1" applyFont="1" applyBorder="1" applyAlignment="1">
      <alignment horizontal="center" vertical="center"/>
    </xf>
    <xf numFmtId="0" fontId="5" fillId="0" borderId="2" xfId="0" applyFont="1" applyBorder="1" applyAlignment="1">
      <alignment horizontal="center" vertical="center"/>
    </xf>
    <xf numFmtId="0" fontId="3" fillId="0" borderId="2" xfId="0" applyFont="1" applyBorder="1" applyAlignment="1">
      <alignment vertical="center"/>
    </xf>
    <xf numFmtId="2" fontId="3" fillId="2" borderId="2" xfId="0" applyNumberFormat="1" applyFont="1" applyFill="1" applyBorder="1" applyAlignment="1" applyProtection="1">
      <alignment horizontal="center" vertical="center"/>
      <protection locked="0"/>
    </xf>
    <xf numFmtId="0" fontId="3" fillId="3" borderId="2" xfId="0" applyFont="1" applyFill="1" applyBorder="1" applyAlignment="1" applyProtection="1">
      <alignment horizontal="center" vertical="center" wrapText="1"/>
      <protection locked="0"/>
    </xf>
    <xf numFmtId="0" fontId="5" fillId="4" borderId="2" xfId="0" applyFont="1" applyFill="1" applyBorder="1" applyAlignment="1" applyProtection="1">
      <alignment horizontal="right" vertical="center"/>
      <protection locked="0"/>
    </xf>
    <xf numFmtId="0" fontId="3" fillId="0" borderId="9" xfId="0" applyFont="1" applyBorder="1" applyAlignment="1" applyProtection="1">
      <alignment horizontal="center" vertical="center" wrapText="1"/>
      <protection locked="0"/>
    </xf>
    <xf numFmtId="49" fontId="11" fillId="0" borderId="9" xfId="0" applyNumberFormat="1" applyFont="1" applyBorder="1" applyAlignment="1">
      <alignment horizontal="center" vertical="center"/>
    </xf>
    <xf numFmtId="2" fontId="3" fillId="0" borderId="2" xfId="0" applyNumberFormat="1" applyFont="1" applyBorder="1" applyAlignment="1" applyProtection="1">
      <alignment horizontal="center" vertical="center" wrapText="1"/>
      <protection locked="0"/>
    </xf>
    <xf numFmtId="0" fontId="13" fillId="0" borderId="0" xfId="0" applyFont="1" applyProtection="1">
      <protection locked="0"/>
    </xf>
    <xf numFmtId="0" fontId="14" fillId="0" borderId="1" xfId="0" applyFont="1" applyBorder="1" applyAlignment="1" applyProtection="1">
      <alignment horizontal="center" vertical="center"/>
      <protection locked="0"/>
    </xf>
    <xf numFmtId="0" fontId="14" fillId="0" borderId="2" xfId="0" applyFont="1" applyBorder="1" applyAlignment="1" applyProtection="1">
      <alignment horizontal="center" vertical="center"/>
      <protection locked="0"/>
    </xf>
    <xf numFmtId="2" fontId="14" fillId="0" borderId="2" xfId="0" applyNumberFormat="1" applyFont="1" applyBorder="1" applyAlignment="1" applyProtection="1">
      <alignment horizontal="center" vertical="center"/>
      <protection locked="0"/>
    </xf>
    <xf numFmtId="2" fontId="15" fillId="0" borderId="2" xfId="0" applyNumberFormat="1" applyFont="1" applyBorder="1" applyAlignment="1" applyProtection="1">
      <alignment horizontal="center" vertical="center"/>
      <protection locked="0"/>
    </xf>
    <xf numFmtId="0" fontId="15" fillId="0" borderId="2" xfId="0" applyFont="1" applyBorder="1" applyAlignment="1" applyProtection="1">
      <alignment horizontal="left" vertical="center"/>
      <protection locked="0"/>
    </xf>
    <xf numFmtId="0" fontId="15" fillId="0" borderId="2" xfId="0" applyFont="1" applyBorder="1" applyAlignment="1" applyProtection="1">
      <alignment horizontal="center" vertical="center" wrapText="1"/>
      <protection locked="0"/>
    </xf>
    <xf numFmtId="0" fontId="15" fillId="0" borderId="2" xfId="0" applyFont="1" applyBorder="1" applyAlignment="1" applyProtection="1">
      <alignment horizontal="right" vertical="center"/>
      <protection locked="0"/>
    </xf>
    <xf numFmtId="2" fontId="15" fillId="0" borderId="10" xfId="0" applyNumberFormat="1" applyFont="1" applyBorder="1" applyAlignment="1" applyProtection="1">
      <alignment horizontal="center" vertical="center"/>
      <protection locked="0"/>
    </xf>
    <xf numFmtId="0" fontId="15" fillId="0" borderId="9" xfId="0" applyFont="1" applyBorder="1" applyAlignment="1">
      <alignment horizontal="center" vertical="center"/>
    </xf>
    <xf numFmtId="0" fontId="14" fillId="0" borderId="9" xfId="0" applyFont="1" applyBorder="1" applyAlignment="1">
      <alignment vertical="center"/>
    </xf>
    <xf numFmtId="0" fontId="14" fillId="0" borderId="9" xfId="0" applyFont="1" applyBorder="1" applyAlignment="1" applyProtection="1">
      <alignment horizontal="center" vertical="center"/>
      <protection locked="0"/>
    </xf>
    <xf numFmtId="2" fontId="14" fillId="0" borderId="9" xfId="0" applyNumberFormat="1" applyFont="1" applyBorder="1" applyAlignment="1" applyProtection="1">
      <alignment horizontal="center" vertical="center"/>
      <protection locked="0"/>
    </xf>
    <xf numFmtId="164" fontId="15" fillId="2" borderId="9" xfId="0" applyNumberFormat="1" applyFont="1" applyFill="1" applyBorder="1" applyAlignment="1">
      <alignment horizontal="center" vertical="center"/>
    </xf>
    <xf numFmtId="0" fontId="15" fillId="0" borderId="9" xfId="0" applyFont="1" applyBorder="1" applyAlignment="1" applyProtection="1">
      <alignment horizontal="left" vertical="center"/>
      <protection locked="0"/>
    </xf>
    <xf numFmtId="0" fontId="15" fillId="3" borderId="9" xfId="0" applyFont="1" applyFill="1" applyBorder="1" applyAlignment="1" applyProtection="1">
      <alignment horizontal="center" vertical="center" wrapText="1"/>
      <protection locked="0"/>
    </xf>
    <xf numFmtId="0" fontId="15" fillId="4" borderId="9" xfId="0" applyFont="1" applyFill="1" applyBorder="1" applyAlignment="1" applyProtection="1">
      <alignment horizontal="right" vertical="center"/>
      <protection locked="0"/>
    </xf>
    <xf numFmtId="2" fontId="15" fillId="0" borderId="12" xfId="0" applyNumberFormat="1" applyFont="1" applyBorder="1" applyAlignment="1" applyProtection="1">
      <alignment horizontal="center" vertical="center"/>
      <protection locked="0"/>
    </xf>
    <xf numFmtId="0" fontId="15" fillId="5" borderId="9" xfId="0" applyFont="1" applyFill="1" applyBorder="1" applyAlignment="1">
      <alignment horizontal="center" vertical="center"/>
    </xf>
    <xf numFmtId="0" fontId="15" fillId="5" borderId="9" xfId="0" applyFont="1" applyFill="1" applyBorder="1" applyAlignment="1">
      <alignment vertical="center"/>
    </xf>
    <xf numFmtId="0" fontId="15" fillId="5" borderId="9" xfId="0" applyFont="1" applyFill="1" applyBorder="1" applyAlignment="1" applyProtection="1">
      <alignment horizontal="center" vertical="center"/>
      <protection locked="0"/>
    </xf>
    <xf numFmtId="2" fontId="15" fillId="5" borderId="9" xfId="0" applyNumberFormat="1" applyFont="1" applyFill="1" applyBorder="1" applyAlignment="1">
      <alignment horizontal="center" vertical="center"/>
    </xf>
    <xf numFmtId="0" fontId="15" fillId="5" borderId="9" xfId="0" applyFont="1" applyFill="1" applyBorder="1" applyAlignment="1" applyProtection="1">
      <alignment horizontal="left" vertical="center"/>
      <protection locked="0"/>
    </xf>
    <xf numFmtId="0" fontId="15" fillId="5" borderId="9" xfId="0" applyFont="1" applyFill="1" applyBorder="1" applyAlignment="1" applyProtection="1">
      <alignment horizontal="center" vertical="center" wrapText="1"/>
      <protection locked="0"/>
    </xf>
    <xf numFmtId="165" fontId="15" fillId="5" borderId="9" xfId="0" applyNumberFormat="1" applyFont="1" applyFill="1" applyBorder="1" applyAlignment="1">
      <alignment horizontal="right" vertical="center"/>
    </xf>
    <xf numFmtId="2" fontId="15" fillId="5" borderId="12" xfId="0" applyNumberFormat="1" applyFont="1" applyFill="1" applyBorder="1" applyAlignment="1" applyProtection="1">
      <alignment horizontal="center" vertical="center"/>
      <protection locked="0"/>
    </xf>
    <xf numFmtId="0" fontId="15" fillId="6" borderId="9" xfId="0" applyFont="1" applyFill="1" applyBorder="1" applyAlignment="1">
      <alignment horizontal="center" vertical="center"/>
    </xf>
    <xf numFmtId="0" fontId="15" fillId="6" borderId="9" xfId="0" applyFont="1" applyFill="1" applyBorder="1" applyAlignment="1">
      <alignment vertical="center"/>
    </xf>
    <xf numFmtId="0" fontId="15" fillId="6" borderId="9" xfId="0" applyFont="1" applyFill="1" applyBorder="1" applyAlignment="1" applyProtection="1">
      <alignment horizontal="center" vertical="center"/>
      <protection locked="0"/>
    </xf>
    <xf numFmtId="164" fontId="15" fillId="6" borderId="9" xfId="0" applyNumberFormat="1" applyFont="1" applyFill="1" applyBorder="1" applyAlignment="1">
      <alignment horizontal="center" vertical="center"/>
    </xf>
    <xf numFmtId="0" fontId="15" fillId="6" borderId="9" xfId="0" applyFont="1" applyFill="1" applyBorder="1" applyAlignment="1" applyProtection="1">
      <alignment horizontal="left" vertical="center" wrapText="1"/>
      <protection locked="0"/>
    </xf>
    <xf numFmtId="0" fontId="15" fillId="6" borderId="9" xfId="0" applyFont="1" applyFill="1" applyBorder="1" applyAlignment="1" applyProtection="1">
      <alignment horizontal="center" vertical="center" wrapText="1"/>
      <protection locked="0"/>
    </xf>
    <xf numFmtId="0" fontId="15" fillId="6" borderId="9" xfId="0" applyFont="1" applyFill="1" applyBorder="1" applyAlignment="1">
      <alignment horizontal="right" vertical="center"/>
    </xf>
    <xf numFmtId="166" fontId="15" fillId="6" borderId="9" xfId="0" applyNumberFormat="1" applyFont="1" applyFill="1" applyBorder="1" applyAlignment="1">
      <alignment horizontal="center" vertical="center"/>
    </xf>
    <xf numFmtId="0" fontId="5" fillId="9" borderId="9" xfId="0" applyFont="1" applyFill="1" applyBorder="1" applyAlignment="1">
      <alignment horizontal="center" vertical="center" wrapText="1"/>
    </xf>
    <xf numFmtId="0" fontId="3" fillId="9" borderId="9" xfId="0" applyFont="1" applyFill="1" applyBorder="1" applyAlignment="1">
      <alignment vertical="center" wrapText="1"/>
    </xf>
    <xf numFmtId="0" fontId="3" fillId="9" borderId="9" xfId="0" applyFont="1" applyFill="1" applyBorder="1" applyAlignment="1" applyProtection="1">
      <alignment horizontal="center" vertical="center" wrapText="1"/>
      <protection locked="0"/>
    </xf>
    <xf numFmtId="2" fontId="3" fillId="9" borderId="9" xfId="0" applyNumberFormat="1" applyFont="1" applyFill="1" applyBorder="1" applyAlignment="1" applyProtection="1">
      <alignment horizontal="center" vertical="center" wrapText="1"/>
      <protection locked="0"/>
    </xf>
    <xf numFmtId="0" fontId="3" fillId="0" borderId="9" xfId="0" applyFont="1" applyBorder="1" applyAlignment="1" applyProtection="1">
      <alignment vertical="center"/>
      <protection locked="0"/>
    </xf>
    <xf numFmtId="0" fontId="5" fillId="5" borderId="9" xfId="0" applyFont="1" applyFill="1" applyBorder="1" applyAlignment="1">
      <alignment vertical="center" wrapText="1"/>
    </xf>
    <xf numFmtId="2" fontId="5" fillId="5" borderId="9" xfId="0" applyNumberFormat="1" applyFont="1" applyFill="1" applyBorder="1" applyAlignment="1">
      <alignment horizontal="center" vertical="center" wrapText="1"/>
    </xf>
    <xf numFmtId="165" fontId="5" fillId="5" borderId="9" xfId="0" applyNumberFormat="1" applyFont="1" applyFill="1" applyBorder="1" applyAlignment="1">
      <alignment horizontal="right" vertical="center" wrapText="1"/>
    </xf>
    <xf numFmtId="1" fontId="5" fillId="5" borderId="12" xfId="0" applyNumberFormat="1" applyFont="1" applyFill="1" applyBorder="1" applyAlignment="1" applyProtection="1">
      <alignment horizontal="center" vertical="center" wrapText="1"/>
      <protection locked="0"/>
    </xf>
    <xf numFmtId="0" fontId="5" fillId="6" borderId="9" xfId="0" applyFont="1" applyFill="1" applyBorder="1" applyAlignment="1">
      <alignment vertical="center" wrapText="1"/>
    </xf>
    <xf numFmtId="164" fontId="5" fillId="6" borderId="9" xfId="0" applyNumberFormat="1" applyFont="1" applyFill="1" applyBorder="1" applyAlignment="1">
      <alignment horizontal="center" vertical="center" wrapText="1"/>
    </xf>
    <xf numFmtId="0" fontId="5" fillId="6" borderId="9" xfId="0" applyFont="1" applyFill="1" applyBorder="1" applyAlignment="1">
      <alignment horizontal="right" vertical="center" wrapText="1"/>
    </xf>
    <xf numFmtId="166" fontId="5" fillId="6" borderId="9" xfId="0" applyNumberFormat="1" applyFont="1" applyFill="1" applyBorder="1" applyAlignment="1">
      <alignment horizontal="center" vertical="center" wrapText="1"/>
    </xf>
    <xf numFmtId="0" fontId="3" fillId="7" borderId="2" xfId="0" applyFont="1" applyFill="1" applyBorder="1" applyAlignment="1">
      <alignment vertical="center" wrapText="1"/>
    </xf>
    <xf numFmtId="2" fontId="3" fillId="7" borderId="2" xfId="0" applyNumberFormat="1" applyFont="1" applyFill="1" applyBorder="1" applyAlignment="1" applyProtection="1">
      <alignment horizontal="center" vertical="center" wrapText="1"/>
      <protection locked="0"/>
    </xf>
    <xf numFmtId="0" fontId="5" fillId="7" borderId="2" xfId="0" applyFont="1" applyFill="1" applyBorder="1" applyAlignment="1" applyProtection="1">
      <alignment horizontal="left" vertical="center" wrapText="1"/>
      <protection locked="0"/>
    </xf>
    <xf numFmtId="0" fontId="5" fillId="7" borderId="2" xfId="0" applyFont="1" applyFill="1" applyBorder="1" applyAlignment="1" applyProtection="1">
      <alignment horizontal="right" vertical="center" wrapText="1"/>
      <protection locked="0"/>
    </xf>
    <xf numFmtId="1" fontId="5" fillId="7" borderId="3" xfId="0" applyNumberFormat="1" applyFont="1" applyFill="1" applyBorder="1" applyAlignment="1" applyProtection="1">
      <alignment horizontal="center" vertical="center" wrapText="1"/>
      <protection locked="0"/>
    </xf>
    <xf numFmtId="0" fontId="5" fillId="6" borderId="9" xfId="0" applyFont="1" applyFill="1" applyBorder="1" applyAlignment="1">
      <alignment horizontal="center" vertical="center" wrapText="1"/>
    </xf>
    <xf numFmtId="0" fontId="5" fillId="10" borderId="9" xfId="1" applyFont="1" applyFill="1" applyBorder="1" applyAlignment="1">
      <alignment horizontal="center" vertical="center" wrapText="1"/>
    </xf>
    <xf numFmtId="0" fontId="3" fillId="10" borderId="9" xfId="0" applyFont="1" applyFill="1" applyBorder="1" applyAlignment="1">
      <alignment vertical="center" wrapText="1"/>
    </xf>
    <xf numFmtId="0" fontId="5" fillId="5" borderId="9" xfId="1" applyFont="1" applyFill="1" applyBorder="1" applyAlignment="1">
      <alignment horizontal="center" vertical="center" wrapText="1"/>
    </xf>
    <xf numFmtId="165" fontId="5" fillId="5" borderId="9" xfId="1" applyNumberFormat="1" applyFont="1" applyFill="1" applyBorder="1" applyAlignment="1">
      <alignment horizontal="right" vertical="center" wrapText="1"/>
    </xf>
    <xf numFmtId="0" fontId="5" fillId="6" borderId="9" xfId="1" applyFont="1" applyFill="1" applyBorder="1" applyAlignment="1">
      <alignment horizontal="center" vertical="center" wrapText="1"/>
    </xf>
    <xf numFmtId="0" fontId="5" fillId="7" borderId="2" xfId="1" applyFont="1" applyFill="1" applyBorder="1" applyAlignment="1">
      <alignment horizontal="center" vertical="center" wrapText="1"/>
    </xf>
    <xf numFmtId="2" fontId="5" fillId="4" borderId="9" xfId="1" applyNumberFormat="1" applyFont="1" applyFill="1" applyBorder="1" applyAlignment="1" applyProtection="1">
      <alignment horizontal="right" vertical="center" wrapText="1"/>
      <protection locked="0"/>
    </xf>
    <xf numFmtId="2" fontId="5" fillId="5" borderId="9" xfId="1" applyNumberFormat="1" applyFont="1" applyFill="1" applyBorder="1" applyAlignment="1">
      <alignment horizontal="center" vertical="center" wrapText="1"/>
    </xf>
    <xf numFmtId="164" fontId="5" fillId="6" borderId="9" xfId="1" applyNumberFormat="1" applyFont="1" applyFill="1" applyBorder="1" applyAlignment="1">
      <alignment horizontal="center" vertical="center" wrapText="1"/>
    </xf>
    <xf numFmtId="2" fontId="3" fillId="7" borderId="2" xfId="1" applyNumberFormat="1" applyFont="1" applyFill="1" applyBorder="1" applyAlignment="1" applyProtection="1">
      <alignment horizontal="center" vertical="center" wrapText="1"/>
      <protection locked="0"/>
    </xf>
    <xf numFmtId="2" fontId="3" fillId="0" borderId="2" xfId="1" applyNumberFormat="1" applyFont="1" applyBorder="1" applyAlignment="1" applyProtection="1">
      <alignment horizontal="center" vertical="center" wrapText="1"/>
      <protection locked="0"/>
    </xf>
    <xf numFmtId="0" fontId="5" fillId="5" borderId="9" xfId="0" applyFont="1" applyFill="1" applyBorder="1" applyAlignment="1" applyProtection="1">
      <alignment vertical="center"/>
      <protection locked="0"/>
    </xf>
    <xf numFmtId="0" fontId="5" fillId="6" borderId="9" xfId="0" applyFont="1" applyFill="1" applyBorder="1" applyAlignment="1" applyProtection="1">
      <alignment vertical="center"/>
      <protection locked="0"/>
    </xf>
    <xf numFmtId="0" fontId="3" fillId="7" borderId="2" xfId="0" applyFont="1" applyFill="1" applyBorder="1" applyAlignment="1" applyProtection="1">
      <alignment vertical="center"/>
      <protection locked="0"/>
    </xf>
    <xf numFmtId="0" fontId="6" fillId="0" borderId="9" xfId="0" applyFont="1" applyBorder="1" applyAlignment="1" applyProtection="1">
      <alignment vertical="center" wrapText="1"/>
      <protection locked="0"/>
    </xf>
    <xf numFmtId="0" fontId="5" fillId="6" borderId="9" xfId="0" applyFont="1" applyFill="1" applyBorder="1" applyAlignment="1" applyProtection="1">
      <alignment vertical="center" wrapText="1"/>
      <protection locked="0"/>
    </xf>
    <xf numFmtId="0" fontId="3" fillId="7" borderId="2" xfId="0" applyFont="1" applyFill="1" applyBorder="1" applyAlignment="1" applyProtection="1">
      <alignment vertical="center" wrapText="1"/>
      <protection locked="0"/>
    </xf>
    <xf numFmtId="0" fontId="3" fillId="0" borderId="9" xfId="0" applyFont="1" applyBorder="1" applyAlignment="1" applyProtection="1">
      <alignment vertical="center" wrapText="1"/>
      <protection locked="0"/>
    </xf>
    <xf numFmtId="1" fontId="3" fillId="0" borderId="9" xfId="0" applyNumberFormat="1" applyFont="1" applyBorder="1" applyAlignment="1" applyProtection="1">
      <alignment horizontal="center" vertical="center"/>
      <protection locked="0"/>
    </xf>
    <xf numFmtId="0" fontId="5" fillId="5" borderId="9" xfId="0" applyFont="1" applyFill="1" applyBorder="1" applyAlignment="1" applyProtection="1">
      <alignment vertical="center" wrapText="1"/>
      <protection locked="0"/>
    </xf>
    <xf numFmtId="0" fontId="14" fillId="0" borderId="1" xfId="0" applyFont="1" applyBorder="1" applyAlignment="1">
      <alignment horizontal="center" vertical="center"/>
    </xf>
    <xf numFmtId="0" fontId="14" fillId="0" borderId="2" xfId="0" applyFont="1" applyBorder="1" applyAlignment="1">
      <alignment horizontal="center" vertical="center"/>
    </xf>
    <xf numFmtId="2" fontId="14" fillId="0" borderId="2" xfId="0" applyNumberFormat="1" applyFont="1" applyBorder="1" applyAlignment="1">
      <alignment horizontal="center" vertical="center"/>
    </xf>
    <xf numFmtId="2" fontId="15" fillId="0" borderId="2" xfId="0" applyNumberFormat="1" applyFont="1" applyBorder="1" applyAlignment="1">
      <alignment horizontal="center" vertical="center"/>
    </xf>
    <xf numFmtId="0" fontId="15" fillId="0" borderId="2" xfId="0" applyFont="1" applyBorder="1" applyAlignment="1">
      <alignment horizontal="left" vertical="center"/>
    </xf>
    <xf numFmtId="0" fontId="15" fillId="0" borderId="2" xfId="0" applyFont="1" applyBorder="1" applyAlignment="1">
      <alignment horizontal="center" vertical="center" wrapText="1"/>
    </xf>
    <xf numFmtId="0" fontId="15" fillId="0" borderId="2" xfId="0" applyFont="1" applyBorder="1" applyAlignment="1">
      <alignment horizontal="right" vertical="center"/>
    </xf>
    <xf numFmtId="2" fontId="15" fillId="0" borderId="10" xfId="0" applyNumberFormat="1" applyFont="1" applyBorder="1" applyAlignment="1">
      <alignment horizontal="center" vertical="center"/>
    </xf>
    <xf numFmtId="0" fontId="14" fillId="0" borderId="9" xfId="0" applyFont="1" applyBorder="1" applyAlignment="1">
      <alignment horizontal="center" vertical="center"/>
    </xf>
    <xf numFmtId="2" fontId="14" fillId="0" borderId="9" xfId="0" applyNumberFormat="1" applyFont="1" applyBorder="1" applyAlignment="1">
      <alignment horizontal="center" vertical="center"/>
    </xf>
    <xf numFmtId="0" fontId="15" fillId="0" borderId="9" xfId="0" applyFont="1" applyBorder="1" applyAlignment="1">
      <alignment horizontal="left" vertical="center"/>
    </xf>
    <xf numFmtId="0" fontId="15" fillId="3" borderId="9" xfId="0" applyFont="1" applyFill="1" applyBorder="1" applyAlignment="1">
      <alignment horizontal="center" vertical="center" wrapText="1"/>
    </xf>
    <xf numFmtId="0" fontId="15" fillId="4" borderId="9" xfId="0" applyFont="1" applyFill="1" applyBorder="1" applyAlignment="1">
      <alignment horizontal="right" vertical="center"/>
    </xf>
    <xf numFmtId="2" fontId="15" fillId="0" borderId="12" xfId="0" applyNumberFormat="1" applyFont="1" applyBorder="1" applyAlignment="1">
      <alignment horizontal="center" vertical="center"/>
    </xf>
    <xf numFmtId="0" fontId="15" fillId="5" borderId="9" xfId="0" applyFont="1" applyFill="1" applyBorder="1" applyAlignment="1">
      <alignment horizontal="left" vertical="center"/>
    </xf>
    <xf numFmtId="0" fontId="15" fillId="5" borderId="9" xfId="0" applyFont="1" applyFill="1" applyBorder="1" applyAlignment="1">
      <alignment horizontal="center" vertical="center" wrapText="1"/>
    </xf>
    <xf numFmtId="2" fontId="15" fillId="5" borderId="12" xfId="0" applyNumberFormat="1" applyFont="1" applyFill="1" applyBorder="1" applyAlignment="1">
      <alignment horizontal="center" vertical="center"/>
    </xf>
    <xf numFmtId="2" fontId="4" fillId="5" borderId="9" xfId="0" applyNumberFormat="1" applyFont="1" applyFill="1" applyBorder="1" applyAlignment="1">
      <alignment horizontal="center" vertical="center"/>
    </xf>
    <xf numFmtId="0" fontId="4" fillId="5" borderId="9" xfId="0" applyFont="1" applyFill="1" applyBorder="1" applyAlignment="1" applyProtection="1">
      <alignment horizontal="left" vertical="center"/>
      <protection locked="0"/>
    </xf>
    <xf numFmtId="0" fontId="4" fillId="5" borderId="9" xfId="0" applyFont="1" applyFill="1" applyBorder="1" applyAlignment="1" applyProtection="1">
      <alignment horizontal="center" vertical="center" wrapText="1"/>
      <protection locked="0"/>
    </xf>
    <xf numFmtId="165" fontId="4" fillId="5" borderId="9" xfId="0" applyNumberFormat="1" applyFont="1" applyFill="1" applyBorder="1" applyAlignment="1">
      <alignment horizontal="right" vertical="center"/>
    </xf>
    <xf numFmtId="1" fontId="4" fillId="5" borderId="12" xfId="0" applyNumberFormat="1" applyFont="1" applyFill="1" applyBorder="1" applyAlignment="1" applyProtection="1">
      <alignment horizontal="center" vertical="center"/>
      <protection locked="0"/>
    </xf>
    <xf numFmtId="0" fontId="3" fillId="0" borderId="0" xfId="0" applyFont="1" applyAlignment="1" applyProtection="1">
      <alignment vertical="center"/>
      <protection locked="0"/>
    </xf>
    <xf numFmtId="0" fontId="5" fillId="7" borderId="1" xfId="0" applyFont="1" applyFill="1" applyBorder="1" applyAlignment="1" applyProtection="1">
      <alignment horizontal="center" vertical="center"/>
      <protection locked="0"/>
    </xf>
    <xf numFmtId="0" fontId="5" fillId="7" borderId="2" xfId="0" applyFont="1" applyFill="1" applyBorder="1" applyAlignment="1" applyProtection="1">
      <alignment horizontal="center" vertical="center"/>
      <protection locked="0"/>
    </xf>
    <xf numFmtId="0" fontId="5" fillId="7" borderId="2" xfId="0" applyFont="1" applyFill="1" applyBorder="1" applyAlignment="1" applyProtection="1">
      <alignment vertical="center"/>
      <protection locked="0"/>
    </xf>
    <xf numFmtId="2" fontId="5" fillId="7" borderId="2" xfId="0" applyNumberFormat="1" applyFont="1" applyFill="1" applyBorder="1" applyAlignment="1" applyProtection="1">
      <alignment horizontal="center" vertical="center"/>
      <protection locked="0"/>
    </xf>
    <xf numFmtId="0" fontId="5" fillId="0" borderId="0" xfId="0" applyFont="1" applyAlignment="1" applyProtection="1">
      <alignment horizontal="center" vertical="center"/>
      <protection locked="0"/>
    </xf>
    <xf numFmtId="0" fontId="3" fillId="0" borderId="0" xfId="0" applyFont="1" applyAlignment="1" applyProtection="1">
      <alignment horizontal="center" vertical="center"/>
      <protection locked="0"/>
    </xf>
    <xf numFmtId="2" fontId="3" fillId="0" borderId="0" xfId="0" applyNumberFormat="1" applyFont="1" applyAlignment="1" applyProtection="1">
      <alignment horizontal="center" vertical="center"/>
      <protection locked="0"/>
    </xf>
    <xf numFmtId="0" fontId="0" fillId="0" borderId="0" xfId="0" applyAlignment="1">
      <alignment horizontal="center" vertical="center"/>
    </xf>
    <xf numFmtId="0" fontId="1" fillId="0" borderId="0" xfId="0" applyFont="1" applyAlignment="1">
      <alignment vertical="center"/>
    </xf>
    <xf numFmtId="0" fontId="17" fillId="11" borderId="19" xfId="0" applyFont="1" applyFill="1" applyBorder="1" applyAlignment="1">
      <alignment horizontal="centerContinuous" vertical="center"/>
    </xf>
    <xf numFmtId="0" fontId="18" fillId="11" borderId="16" xfId="0" applyFont="1" applyFill="1" applyBorder="1" applyAlignment="1">
      <alignment horizontal="centerContinuous" vertical="center"/>
    </xf>
    <xf numFmtId="166" fontId="18" fillId="11" borderId="17" xfId="0" applyNumberFormat="1" applyFont="1" applyFill="1" applyBorder="1" applyAlignment="1">
      <alignment horizontal="center" vertical="center"/>
    </xf>
    <xf numFmtId="0" fontId="17" fillId="11" borderId="18" xfId="0" applyFont="1" applyFill="1" applyBorder="1" applyAlignment="1">
      <alignment horizontal="centerContinuous" vertical="center"/>
    </xf>
    <xf numFmtId="0" fontId="18" fillId="11" borderId="2" xfId="0" applyFont="1" applyFill="1" applyBorder="1" applyAlignment="1">
      <alignment horizontal="centerContinuous" vertical="center"/>
    </xf>
    <xf numFmtId="166" fontId="18" fillId="11" borderId="10" xfId="0" applyNumberFormat="1" applyFont="1" applyFill="1" applyBorder="1" applyAlignment="1">
      <alignment horizontal="center" vertical="center"/>
    </xf>
    <xf numFmtId="0" fontId="19" fillId="11" borderId="18" xfId="0" applyFont="1" applyFill="1" applyBorder="1" applyAlignment="1">
      <alignment horizontal="centerContinuous" vertical="center"/>
    </xf>
    <xf numFmtId="0" fontId="19" fillId="11" borderId="2" xfId="0" applyFont="1" applyFill="1" applyBorder="1" applyAlignment="1">
      <alignment horizontal="centerContinuous"/>
    </xf>
    <xf numFmtId="166" fontId="19" fillId="11" borderId="10" xfId="0" applyNumberFormat="1" applyFont="1" applyFill="1" applyBorder="1" applyAlignment="1">
      <alignment horizontal="center" vertical="center"/>
    </xf>
    <xf numFmtId="0" fontId="19" fillId="11" borderId="20" xfId="0" applyFont="1" applyFill="1" applyBorder="1" applyAlignment="1">
      <alignment horizontal="centerContinuous" vertical="center"/>
    </xf>
    <xf numFmtId="0" fontId="19" fillId="11" borderId="5" xfId="0" applyFont="1" applyFill="1" applyBorder="1" applyAlignment="1">
      <alignment horizontal="centerContinuous"/>
    </xf>
    <xf numFmtId="166" fontId="19" fillId="11" borderId="21" xfId="0" applyNumberFormat="1" applyFont="1" applyFill="1" applyBorder="1" applyAlignment="1">
      <alignment horizontal="center" vertical="center"/>
    </xf>
    <xf numFmtId="0" fontId="20" fillId="0" borderId="0" xfId="0" applyFont="1" applyAlignment="1">
      <alignment horizontal="centerContinuous" vertical="center"/>
    </xf>
    <xf numFmtId="0" fontId="1" fillId="0" borderId="0" xfId="0" applyFont="1" applyAlignment="1">
      <alignment horizontal="centerContinuous" vertical="center"/>
    </xf>
    <xf numFmtId="166" fontId="1" fillId="0" borderId="0" xfId="0" applyNumberFormat="1" applyFont="1" applyAlignment="1">
      <alignment horizontal="center" vertical="center"/>
    </xf>
    <xf numFmtId="0" fontId="21" fillId="0" borderId="0" xfId="0" applyFont="1" applyAlignment="1">
      <alignment horizontal="right" vertical="center" wrapText="1"/>
    </xf>
    <xf numFmtId="0" fontId="5" fillId="0" borderId="0" xfId="0" applyFont="1" applyAlignment="1" applyProtection="1">
      <alignment vertical="center"/>
      <protection locked="0"/>
    </xf>
    <xf numFmtId="1" fontId="5" fillId="0" borderId="0" xfId="0" applyNumberFormat="1" applyFont="1" applyAlignment="1" applyProtection="1">
      <alignment vertical="center"/>
      <protection locked="0"/>
    </xf>
    <xf numFmtId="0" fontId="5" fillId="6" borderId="9" xfId="0" applyFont="1" applyFill="1" applyBorder="1" applyAlignment="1">
      <alignment horizontal="center" vertical="center"/>
    </xf>
    <xf numFmtId="2" fontId="5" fillId="5" borderId="9" xfId="0" applyNumberFormat="1" applyFont="1" applyFill="1" applyBorder="1" applyAlignment="1">
      <alignment horizontal="center" vertical="center"/>
    </xf>
    <xf numFmtId="0" fontId="21" fillId="0" borderId="0" xfId="0" applyFont="1" applyAlignment="1">
      <alignment horizontal="left" vertical="center" wrapText="1"/>
    </xf>
    <xf numFmtId="2" fontId="15" fillId="5" borderId="9" xfId="0" applyNumberFormat="1" applyFont="1" applyFill="1" applyBorder="1" applyAlignment="1">
      <alignment horizontal="center" vertical="center"/>
    </xf>
    <xf numFmtId="2" fontId="5" fillId="6" borderId="9" xfId="0" applyNumberFormat="1" applyFont="1" applyFill="1" applyBorder="1" applyAlignment="1">
      <alignment horizontal="center" vertical="center" wrapText="1"/>
    </xf>
    <xf numFmtId="0" fontId="15" fillId="6" borderId="9" xfId="0" applyFont="1" applyFill="1" applyBorder="1" applyAlignment="1">
      <alignment horizontal="center" vertical="center"/>
    </xf>
    <xf numFmtId="0" fontId="5" fillId="5" borderId="9" xfId="0" applyFont="1" applyFill="1" applyBorder="1" applyAlignment="1">
      <alignment horizontal="center" vertical="center"/>
    </xf>
    <xf numFmtId="0" fontId="9" fillId="8" borderId="9" xfId="0" applyFont="1" applyFill="1" applyBorder="1" applyAlignment="1">
      <alignment horizontal="center" vertical="center" wrapText="1"/>
    </xf>
    <xf numFmtId="0" fontId="9" fillId="8" borderId="13" xfId="0" applyFont="1" applyFill="1" applyBorder="1" applyAlignment="1">
      <alignment horizontal="center" vertical="center" wrapText="1"/>
    </xf>
    <xf numFmtId="0" fontId="10" fillId="6" borderId="9" xfId="0" applyFont="1" applyFill="1" applyBorder="1" applyAlignment="1">
      <alignment horizontal="center" vertical="center" wrapText="1"/>
    </xf>
    <xf numFmtId="2" fontId="5" fillId="6" borderId="9" xfId="0" applyNumberFormat="1" applyFont="1" applyFill="1" applyBorder="1" applyAlignment="1">
      <alignment horizontal="center" vertical="center"/>
    </xf>
    <xf numFmtId="0" fontId="2" fillId="0" borderId="1" xfId="0" applyFont="1" applyBorder="1" applyAlignment="1">
      <alignment horizontal="center" vertical="center" wrapText="1"/>
    </xf>
    <xf numFmtId="0" fontId="2" fillId="0" borderId="2" xfId="0" applyFont="1" applyBorder="1" applyAlignment="1">
      <alignment horizontal="center" vertical="center" wrapText="1"/>
    </xf>
    <xf numFmtId="0" fontId="2" fillId="0" borderId="3" xfId="0" applyFont="1" applyBorder="1" applyAlignment="1">
      <alignment horizontal="center" vertical="center" wrapText="1"/>
    </xf>
    <xf numFmtId="0" fontId="2" fillId="0" borderId="4" xfId="0" applyFont="1" applyBorder="1" applyAlignment="1">
      <alignment horizontal="center" vertical="center" wrapText="1"/>
    </xf>
    <xf numFmtId="0" fontId="2" fillId="0" borderId="5" xfId="0" applyFont="1" applyBorder="1" applyAlignment="1">
      <alignment horizontal="center" vertical="center" wrapText="1"/>
    </xf>
    <xf numFmtId="0" fontId="2" fillId="0" borderId="6" xfId="0" applyFont="1" applyBorder="1" applyAlignment="1">
      <alignment horizontal="center" vertical="center" wrapText="1"/>
    </xf>
  </cellXfs>
  <cellStyles count="2">
    <cellStyle name="Normal" xfId="0" builtinId="0"/>
    <cellStyle name="Normal 2" xfId="1" xr:uid="{68120165-7BF3-4900-B234-3AEFA707DA54}"/>
  </cellStyles>
  <dxfs count="53">
    <dxf>
      <fill>
        <patternFill>
          <bgColor rgb="FFFA0000"/>
        </patternFill>
      </fill>
    </dxf>
    <dxf>
      <fill>
        <patternFill>
          <bgColor rgb="FFFA0000"/>
        </patternFill>
      </fill>
    </dxf>
    <dxf>
      <fill>
        <patternFill>
          <bgColor rgb="FFFA0000"/>
        </patternFill>
      </fill>
    </dxf>
    <dxf>
      <fill>
        <patternFill>
          <bgColor rgb="FFFA0000"/>
        </patternFill>
      </fill>
    </dxf>
    <dxf>
      <fill>
        <patternFill>
          <bgColor rgb="FFFA0000"/>
        </patternFill>
      </fill>
    </dxf>
    <dxf>
      <fill>
        <patternFill>
          <bgColor rgb="FFFA0000"/>
        </patternFill>
      </fill>
    </dxf>
    <dxf>
      <fill>
        <patternFill>
          <bgColor rgb="FFFA0000"/>
        </patternFill>
      </fill>
    </dxf>
    <dxf>
      <fill>
        <patternFill>
          <bgColor rgb="FFFA0000"/>
        </patternFill>
      </fill>
    </dxf>
    <dxf>
      <fill>
        <patternFill>
          <bgColor rgb="FFFA0000"/>
        </patternFill>
      </fill>
    </dxf>
    <dxf>
      <fill>
        <patternFill>
          <bgColor rgb="FFFA0000"/>
        </patternFill>
      </fill>
    </dxf>
    <dxf>
      <fill>
        <patternFill>
          <bgColor rgb="FFFA0000"/>
        </patternFill>
      </fill>
    </dxf>
    <dxf>
      <fill>
        <patternFill>
          <bgColor rgb="FFFA0000"/>
        </patternFill>
      </fill>
    </dxf>
    <dxf>
      <fill>
        <patternFill>
          <bgColor rgb="FFFA0000"/>
        </patternFill>
      </fill>
    </dxf>
    <dxf>
      <fill>
        <patternFill>
          <bgColor rgb="FFFA0000"/>
        </patternFill>
      </fill>
    </dxf>
    <dxf>
      <fill>
        <patternFill>
          <bgColor rgb="FFFA0000"/>
        </patternFill>
      </fill>
    </dxf>
    <dxf>
      <fill>
        <patternFill>
          <bgColor rgb="FFFA0000"/>
        </patternFill>
      </fill>
    </dxf>
    <dxf>
      <fill>
        <patternFill>
          <bgColor rgb="FFFA0000"/>
        </patternFill>
      </fill>
    </dxf>
    <dxf>
      <fill>
        <patternFill>
          <bgColor rgb="FFFA0000"/>
        </patternFill>
      </fill>
    </dxf>
    <dxf>
      <fill>
        <patternFill>
          <bgColor rgb="FFFA0000"/>
        </patternFill>
      </fill>
    </dxf>
    <dxf>
      <fill>
        <patternFill>
          <bgColor rgb="FFFA0000"/>
        </patternFill>
      </fill>
    </dxf>
    <dxf>
      <fill>
        <patternFill>
          <bgColor rgb="FFFA0000"/>
        </patternFill>
      </fill>
    </dxf>
    <dxf>
      <fill>
        <patternFill>
          <bgColor rgb="FFFA0000"/>
        </patternFill>
      </fill>
    </dxf>
    <dxf>
      <fill>
        <patternFill>
          <bgColor rgb="FFFA0000"/>
        </patternFill>
      </fill>
    </dxf>
    <dxf>
      <fill>
        <patternFill>
          <bgColor rgb="FFFA0000"/>
        </patternFill>
      </fill>
    </dxf>
    <dxf>
      <fill>
        <patternFill>
          <bgColor rgb="FFFA0000"/>
        </patternFill>
      </fill>
    </dxf>
    <dxf>
      <fill>
        <patternFill>
          <bgColor rgb="FFFA0000"/>
        </patternFill>
      </fill>
    </dxf>
    <dxf>
      <fill>
        <patternFill>
          <bgColor rgb="FFFA0000"/>
        </patternFill>
      </fill>
    </dxf>
    <dxf>
      <fill>
        <patternFill>
          <bgColor rgb="FFFA0000"/>
        </patternFill>
      </fill>
    </dxf>
    <dxf>
      <fill>
        <patternFill>
          <bgColor rgb="FFFA0000"/>
        </patternFill>
      </fill>
    </dxf>
    <dxf>
      <fill>
        <patternFill>
          <bgColor rgb="FFFA0000"/>
        </patternFill>
      </fill>
    </dxf>
    <dxf>
      <fill>
        <patternFill>
          <bgColor rgb="FFFA0000"/>
        </patternFill>
      </fill>
    </dxf>
    <dxf>
      <fill>
        <patternFill>
          <bgColor rgb="FFFA0000"/>
        </patternFill>
      </fill>
    </dxf>
    <dxf>
      <fill>
        <patternFill>
          <bgColor rgb="FFFA0000"/>
        </patternFill>
      </fill>
    </dxf>
    <dxf>
      <fill>
        <patternFill>
          <bgColor rgb="FFFA0000"/>
        </patternFill>
      </fill>
    </dxf>
    <dxf>
      <fill>
        <patternFill>
          <bgColor rgb="FFFA0000"/>
        </patternFill>
      </fill>
    </dxf>
    <dxf>
      <fill>
        <patternFill>
          <bgColor rgb="FFFA0000"/>
        </patternFill>
      </fill>
    </dxf>
    <dxf>
      <fill>
        <patternFill>
          <bgColor rgb="FFFA0000"/>
        </patternFill>
      </fill>
    </dxf>
    <dxf>
      <fill>
        <patternFill>
          <bgColor rgb="FFFA0000"/>
        </patternFill>
      </fill>
    </dxf>
    <dxf>
      <fill>
        <patternFill>
          <bgColor rgb="FFFA0000"/>
        </patternFill>
      </fill>
    </dxf>
    <dxf>
      <fill>
        <patternFill>
          <bgColor rgb="FFFA0000"/>
        </patternFill>
      </fill>
    </dxf>
    <dxf>
      <fill>
        <patternFill>
          <bgColor rgb="FFFA0000"/>
        </patternFill>
      </fill>
    </dxf>
    <dxf>
      <fill>
        <patternFill>
          <bgColor rgb="FFFA0000"/>
        </patternFill>
      </fill>
    </dxf>
    <dxf>
      <fill>
        <patternFill>
          <bgColor rgb="FFFA0000"/>
        </patternFill>
      </fill>
    </dxf>
    <dxf>
      <fill>
        <patternFill>
          <bgColor rgb="FFFA0000"/>
        </patternFill>
      </fill>
    </dxf>
    <dxf>
      <fill>
        <patternFill>
          <bgColor rgb="FFFA0000"/>
        </patternFill>
      </fill>
    </dxf>
    <dxf>
      <fill>
        <patternFill>
          <bgColor rgb="FFFA0000"/>
        </patternFill>
      </fill>
    </dxf>
    <dxf>
      <fill>
        <patternFill>
          <bgColor rgb="FFFA0000"/>
        </patternFill>
      </fill>
    </dxf>
    <dxf>
      <fill>
        <patternFill>
          <bgColor rgb="FFFA0000"/>
        </patternFill>
      </fill>
    </dxf>
    <dxf>
      <fill>
        <patternFill>
          <bgColor rgb="FFFA0000"/>
        </patternFill>
      </fill>
    </dxf>
    <dxf>
      <fill>
        <patternFill>
          <bgColor rgb="FFFA0000"/>
        </patternFill>
      </fill>
    </dxf>
    <dxf>
      <fill>
        <patternFill>
          <bgColor rgb="FFFA0000"/>
        </patternFill>
      </fill>
    </dxf>
    <dxf>
      <fill>
        <patternFill>
          <bgColor rgb="FFFA0000"/>
        </patternFill>
      </fill>
    </dxf>
    <dxf>
      <fill>
        <patternFill>
          <bgColor rgb="FFFA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148F6C-A702-4837-9439-D1D86971578E}">
  <sheetPr>
    <tabColor rgb="FF92D050"/>
  </sheetPr>
  <dimension ref="A1:O454"/>
  <sheetViews>
    <sheetView showGridLines="0" tabSelected="1" topLeftCell="A379" zoomScaleNormal="100" zoomScaleSheetLayoutView="100" workbookViewId="0">
      <selection activeCell="C386" sqref="C386"/>
    </sheetView>
  </sheetViews>
  <sheetFormatPr defaultColWidth="0" defaultRowHeight="15.6" zeroHeight="1" x14ac:dyDescent="0.3"/>
  <cols>
    <col min="1" max="2" width="10.6640625" style="226" customWidth="1"/>
    <col min="3" max="3" width="60.6640625" style="221" customWidth="1"/>
    <col min="4" max="4" width="10.6640625" style="227" customWidth="1"/>
    <col min="5" max="5" width="10.77734375" style="227" customWidth="1"/>
    <col min="6" max="6" width="10.77734375" style="228" customWidth="1"/>
    <col min="7" max="7" width="10.77734375" style="227" customWidth="1"/>
    <col min="8" max="8" width="10.77734375" style="228" customWidth="1"/>
    <col min="9" max="9" width="10.77734375" style="247" customWidth="1"/>
    <col min="10" max="10" width="10.77734375" style="221" customWidth="1"/>
    <col min="11" max="11" width="10.77734375" style="226" customWidth="1"/>
    <col min="12" max="12" width="11.77734375" style="248" customWidth="1"/>
    <col min="13" max="13" width="12.77734375" style="1" customWidth="1"/>
    <col min="14" max="14" width="5.77734375" style="1" customWidth="1"/>
    <col min="15" max="15" width="9.6640625" style="1" hidden="1" customWidth="1"/>
    <col min="16" max="16384" width="9.109375" style="1" hidden="1"/>
  </cols>
  <sheetData>
    <row r="1" spans="1:12" x14ac:dyDescent="0.3">
      <c r="A1" s="260" t="s">
        <v>0</v>
      </c>
      <c r="B1" s="261"/>
      <c r="C1" s="261"/>
      <c r="D1" s="261"/>
      <c r="E1" s="261"/>
      <c r="F1" s="261"/>
      <c r="G1" s="261"/>
      <c r="H1" s="261"/>
      <c r="I1" s="261"/>
      <c r="J1" s="261"/>
      <c r="K1" s="261"/>
      <c r="L1" s="262"/>
    </row>
    <row r="2" spans="1:12" x14ac:dyDescent="0.3">
      <c r="A2" s="260"/>
      <c r="B2" s="261"/>
      <c r="C2" s="261"/>
      <c r="D2" s="261"/>
      <c r="E2" s="261"/>
      <c r="F2" s="261"/>
      <c r="G2" s="261"/>
      <c r="H2" s="261"/>
      <c r="I2" s="261"/>
      <c r="J2" s="261"/>
      <c r="K2" s="261"/>
      <c r="L2" s="262"/>
    </row>
    <row r="3" spans="1:12" ht="16.2" thickBot="1" x14ac:dyDescent="0.35">
      <c r="A3" s="263"/>
      <c r="B3" s="264"/>
      <c r="C3" s="264"/>
      <c r="D3" s="264"/>
      <c r="E3" s="264"/>
      <c r="F3" s="264"/>
      <c r="G3" s="264"/>
      <c r="H3" s="264"/>
      <c r="I3" s="264"/>
      <c r="J3" s="264"/>
      <c r="K3" s="264"/>
      <c r="L3" s="265"/>
    </row>
    <row r="4" spans="1:12" s="6" customFormat="1" ht="35.4" thickTop="1" x14ac:dyDescent="0.3">
      <c r="A4" s="2" t="s">
        <v>1</v>
      </c>
      <c r="B4" s="3" t="s">
        <v>2</v>
      </c>
      <c r="C4" s="2" t="s">
        <v>3</v>
      </c>
      <c r="D4" s="2" t="s">
        <v>4</v>
      </c>
      <c r="E4" s="2" t="s">
        <v>5</v>
      </c>
      <c r="F4" s="4" t="s">
        <v>6</v>
      </c>
      <c r="G4" s="2" t="s">
        <v>7</v>
      </c>
      <c r="H4" s="4" t="s">
        <v>8</v>
      </c>
      <c r="I4" s="2" t="s">
        <v>9</v>
      </c>
      <c r="J4" s="2" t="s">
        <v>10</v>
      </c>
      <c r="K4" s="2" t="s">
        <v>11</v>
      </c>
      <c r="L4" s="5" t="s">
        <v>12</v>
      </c>
    </row>
    <row r="5" spans="1:12" ht="41.4" x14ac:dyDescent="0.3">
      <c r="A5" s="7">
        <f>IFERROR(LOOKUP(2,1/(ISNUMBER($A$4:$A$4)),$A$4:$A$4),0)+1</f>
        <v>1</v>
      </c>
      <c r="B5" s="8" t="s">
        <v>13</v>
      </c>
      <c r="C5" s="9" t="s">
        <v>14</v>
      </c>
      <c r="D5" s="10"/>
      <c r="E5" s="11"/>
      <c r="F5" s="12"/>
      <c r="G5" s="11"/>
      <c r="H5" s="12"/>
      <c r="I5" s="13"/>
      <c r="J5" s="14"/>
      <c r="K5" s="15"/>
      <c r="L5" s="16"/>
    </row>
    <row r="6" spans="1:12" x14ac:dyDescent="0.3">
      <c r="A6" s="17"/>
      <c r="B6" s="18"/>
      <c r="C6" s="19"/>
      <c r="D6" s="20">
        <v>1</v>
      </c>
      <c r="E6" s="20">
        <v>20</v>
      </c>
      <c r="F6" s="21">
        <v>15</v>
      </c>
      <c r="G6" s="20"/>
      <c r="H6" s="22">
        <f>D6*IF(OR(E6=0,E6="-"),1,E6)*IF(OR(F6=0,F6="-"),1,F6)*IF(OR(G6=0,G6="-"),1,G6)</f>
        <v>300</v>
      </c>
      <c r="I6" s="23" t="s">
        <v>15</v>
      </c>
      <c r="J6" s="24"/>
      <c r="K6" s="25"/>
      <c r="L6" s="26"/>
    </row>
    <row r="7" spans="1:12" x14ac:dyDescent="0.3">
      <c r="A7" s="27"/>
      <c r="B7" s="28"/>
      <c r="C7" s="29"/>
      <c r="D7" s="30"/>
      <c r="E7" s="30"/>
      <c r="F7" s="250" t="s">
        <v>16</v>
      </c>
      <c r="G7" s="250"/>
      <c r="H7" s="31">
        <f>SUM(H6:H6)</f>
        <v>300</v>
      </c>
      <c r="I7" s="32" t="s">
        <v>15</v>
      </c>
      <c r="J7" s="33"/>
      <c r="K7" s="34" t="str">
        <f>""</f>
        <v/>
      </c>
      <c r="L7" s="35"/>
    </row>
    <row r="8" spans="1:12" ht="31.2" x14ac:dyDescent="0.3">
      <c r="A8" s="36"/>
      <c r="B8" s="37"/>
      <c r="C8" s="38"/>
      <c r="D8" s="39"/>
      <c r="E8" s="249" t="s">
        <v>17</v>
      </c>
      <c r="F8" s="249"/>
      <c r="G8" s="249"/>
      <c r="H8" s="40">
        <f>ROUND(H7*0.0929,3)</f>
        <v>27.87</v>
      </c>
      <c r="I8" s="41" t="s">
        <v>18</v>
      </c>
      <c r="J8" s="42" t="s">
        <v>19</v>
      </c>
      <c r="K8" s="43">
        <f>IF(B5="4.2",_xlfn.IFS(J8="Labour Rate",3,J8="Through Rate",3,TRUE,""),"")</f>
        <v>3</v>
      </c>
      <c r="L8" s="44">
        <f>IF(H8*K8&lt;&gt;0,H8*K8,0)</f>
        <v>83.61</v>
      </c>
    </row>
    <row r="9" spans="1:12" ht="14.1" customHeight="1" x14ac:dyDescent="0.3">
      <c r="A9" s="45"/>
      <c r="B9" s="46"/>
      <c r="C9" s="47"/>
      <c r="D9" s="48" t="s">
        <v>20</v>
      </c>
      <c r="E9" s="48"/>
      <c r="F9" s="49"/>
      <c r="G9" s="48"/>
      <c r="H9" s="49"/>
      <c r="I9" s="50"/>
      <c r="J9" s="51"/>
      <c r="K9" s="52"/>
      <c r="L9" s="53"/>
    </row>
    <row r="10" spans="1:12" ht="81" x14ac:dyDescent="0.3">
      <c r="A10" s="7">
        <f>IFERROR(LOOKUP(2,1/(ISNUMBER($A$4:$A$9)),$A$4:$A$9),0)+1</f>
        <v>2</v>
      </c>
      <c r="B10" s="54" t="s">
        <v>21</v>
      </c>
      <c r="C10" s="55" t="s">
        <v>22</v>
      </c>
      <c r="D10" s="10"/>
      <c r="E10" s="11"/>
      <c r="F10" s="12"/>
      <c r="G10" s="11"/>
      <c r="H10" s="12"/>
      <c r="I10" s="13"/>
      <c r="J10" s="14"/>
      <c r="K10" s="15"/>
      <c r="L10" s="16"/>
    </row>
    <row r="11" spans="1:12" x14ac:dyDescent="0.3">
      <c r="A11" s="17"/>
      <c r="B11" s="18"/>
      <c r="C11" s="19" t="s">
        <v>23</v>
      </c>
      <c r="D11" s="20">
        <v>3</v>
      </c>
      <c r="E11" s="20">
        <f>(3-0.75)+11.25</f>
        <v>13.5</v>
      </c>
      <c r="F11" s="21">
        <v>3</v>
      </c>
      <c r="G11" s="20">
        <v>3</v>
      </c>
      <c r="H11" s="22">
        <f>D11*IF(OR(E11=0,E11="-"),1,E11)*IF(OR(F11=0,F11="-"),1,F11)*IF(OR(G11=0,G11="-"),1,G11)</f>
        <v>364.5</v>
      </c>
      <c r="I11" s="23" t="s">
        <v>24</v>
      </c>
      <c r="J11" s="24"/>
      <c r="K11" s="25"/>
      <c r="L11" s="26"/>
    </row>
    <row r="12" spans="1:12" x14ac:dyDescent="0.3">
      <c r="A12" s="17"/>
      <c r="B12" s="18"/>
      <c r="C12" s="19"/>
      <c r="D12" s="20">
        <v>4</v>
      </c>
      <c r="E12" s="20">
        <f>4-(3-0.75)</f>
        <v>1.75</v>
      </c>
      <c r="F12" s="21">
        <v>3</v>
      </c>
      <c r="G12" s="20">
        <v>3</v>
      </c>
      <c r="H12" s="22">
        <f>D12*IF(OR(E12=0,E12="-"),1,E12)*IF(OR(F12=0,F12="-"),1,F12)*IF(OR(G12=0,G12="-"),1,G12)</f>
        <v>63</v>
      </c>
      <c r="I12" s="23" t="s">
        <v>24</v>
      </c>
      <c r="J12" s="24"/>
      <c r="K12" s="25"/>
      <c r="L12" s="26"/>
    </row>
    <row r="13" spans="1:12" x14ac:dyDescent="0.3">
      <c r="A13" s="17"/>
      <c r="B13" s="18"/>
      <c r="C13" s="19"/>
      <c r="D13" s="20">
        <v>2</v>
      </c>
      <c r="E13" s="20">
        <f>3-(3-0.75)</f>
        <v>0.75</v>
      </c>
      <c r="F13" s="21">
        <v>3</v>
      </c>
      <c r="G13" s="20">
        <v>3</v>
      </c>
      <c r="H13" s="22">
        <f>D13*IF(OR(E13=0,E13="-"),1,E13)*IF(OR(F13=0,F13="-"),1,F13)*IF(OR(G13=0,G13="-"),1,G13)</f>
        <v>13.5</v>
      </c>
      <c r="I13" s="23" t="s">
        <v>24</v>
      </c>
      <c r="J13" s="24"/>
      <c r="K13" s="25"/>
      <c r="L13" s="26"/>
    </row>
    <row r="14" spans="1:12" x14ac:dyDescent="0.3">
      <c r="A14" s="17"/>
      <c r="B14" s="18"/>
      <c r="C14" s="20" t="s">
        <v>25</v>
      </c>
      <c r="D14" s="20">
        <v>1</v>
      </c>
      <c r="E14" s="20">
        <f>2.5+2.5+2.5+0.75+1.5</f>
        <v>9.75</v>
      </c>
      <c r="F14" s="21">
        <f>5.5</f>
        <v>5.5</v>
      </c>
      <c r="G14" s="20">
        <v>5</v>
      </c>
      <c r="H14" s="22">
        <f>D14*IF(OR(E14=0,E14="-"),1,E14)*IF(OR(F14=0,F14="-"),1,F14)*IF(OR(G14=0,G14="-"),1,G14)</f>
        <v>268.125</v>
      </c>
      <c r="I14" s="23" t="s">
        <v>24</v>
      </c>
      <c r="J14" s="24"/>
      <c r="K14" s="25"/>
      <c r="L14" s="26"/>
    </row>
    <row r="15" spans="1:12" s="56" customFormat="1" x14ac:dyDescent="0.3">
      <c r="A15" s="27"/>
      <c r="B15" s="28"/>
      <c r="C15" s="29"/>
      <c r="D15" s="30"/>
      <c r="E15" s="30"/>
      <c r="F15" s="250" t="s">
        <v>26</v>
      </c>
      <c r="G15" s="250"/>
      <c r="H15" s="31">
        <f>SUM(H11:H14)</f>
        <v>709.125</v>
      </c>
      <c r="I15" s="32" t="s">
        <v>24</v>
      </c>
      <c r="J15" s="33"/>
      <c r="K15" s="34" t="str">
        <f>""</f>
        <v/>
      </c>
      <c r="L15" s="35"/>
    </row>
    <row r="16" spans="1:12" ht="31.2" x14ac:dyDescent="0.3">
      <c r="A16" s="36"/>
      <c r="B16" s="37"/>
      <c r="C16" s="38"/>
      <c r="D16" s="39"/>
      <c r="E16" s="249" t="s">
        <v>27</v>
      </c>
      <c r="F16" s="249"/>
      <c r="G16" s="249"/>
      <c r="H16" s="40">
        <f>ROUND(H15*0.0283,3)</f>
        <v>20.068000000000001</v>
      </c>
      <c r="I16" s="41" t="s">
        <v>28</v>
      </c>
      <c r="J16" s="42" t="s">
        <v>19</v>
      </c>
      <c r="K16" s="43">
        <f>IF(B10="4.12.1",_xlfn.IFS(J16="Labour Rate",15,J16="Machinery Rate",62,J16="Through Rate",78,TRUE,""),"")</f>
        <v>78</v>
      </c>
      <c r="L16" s="44">
        <f>IF(H16*K16&lt;&gt;0,H16*K16,0)</f>
        <v>1565.3040000000001</v>
      </c>
    </row>
    <row r="17" spans="1:12" ht="14.1" customHeight="1" x14ac:dyDescent="0.3">
      <c r="A17" s="45"/>
      <c r="B17" s="46"/>
      <c r="C17" s="47"/>
      <c r="D17" s="48"/>
      <c r="E17" s="48"/>
      <c r="F17" s="49"/>
      <c r="G17" s="48"/>
      <c r="H17" s="49"/>
      <c r="I17" s="50"/>
      <c r="J17" s="51"/>
      <c r="K17" s="52"/>
      <c r="L17" s="53"/>
    </row>
    <row r="18" spans="1:12" ht="79.2" x14ac:dyDescent="0.3">
      <c r="A18" s="7">
        <f>IFERROR(LOOKUP(2,1/(ISNUMBER($A$4:$A$17)),$A$4:$A$17),0)+1</f>
        <v>3</v>
      </c>
      <c r="B18" s="54" t="s">
        <v>29</v>
      </c>
      <c r="C18" s="9" t="s">
        <v>30</v>
      </c>
      <c r="D18" s="10"/>
      <c r="E18" s="11"/>
      <c r="F18" s="12"/>
      <c r="G18" s="11"/>
      <c r="H18" s="12"/>
      <c r="I18" s="13"/>
      <c r="J18" s="14"/>
      <c r="K18" s="15"/>
      <c r="L18" s="16"/>
    </row>
    <row r="19" spans="1:12" x14ac:dyDescent="0.3">
      <c r="A19" s="17"/>
      <c r="B19" s="18"/>
      <c r="C19" s="19"/>
      <c r="D19" s="20">
        <v>3</v>
      </c>
      <c r="E19" s="20">
        <f>(3-0.75)+11.25</f>
        <v>13.5</v>
      </c>
      <c r="F19" s="21">
        <v>3</v>
      </c>
      <c r="G19" s="20">
        <v>0.5</v>
      </c>
      <c r="H19" s="22">
        <f>D19*IF(OR(E19=0,E19="-"),1,E19)*IF(OR(F19=0,F19="-"),1,F19)*IF(OR(G19=0,G19="-"),1,G19)</f>
        <v>60.75</v>
      </c>
      <c r="I19" s="23" t="s">
        <v>24</v>
      </c>
      <c r="J19" s="24"/>
      <c r="K19" s="25"/>
      <c r="L19" s="26"/>
    </row>
    <row r="20" spans="1:12" x14ac:dyDescent="0.3">
      <c r="A20" s="17"/>
      <c r="B20" s="18"/>
      <c r="C20" s="19"/>
      <c r="D20" s="20">
        <v>4</v>
      </c>
      <c r="E20" s="20">
        <f>4-(3-0.75)</f>
        <v>1.75</v>
      </c>
      <c r="F20" s="21">
        <v>3</v>
      </c>
      <c r="G20" s="20">
        <v>0.5</v>
      </c>
      <c r="H20" s="22">
        <f>D20*IF(OR(E20=0,E20="-"),1,E20)*IF(OR(F20=0,F20="-"),1,F20)*IF(OR(G20=0,G20="-"),1,G20)</f>
        <v>10.5</v>
      </c>
      <c r="I20" s="23" t="s">
        <v>24</v>
      </c>
      <c r="J20" s="24"/>
      <c r="K20" s="25"/>
      <c r="L20" s="26"/>
    </row>
    <row r="21" spans="1:12" x14ac:dyDescent="0.3">
      <c r="A21" s="17"/>
      <c r="B21" s="18"/>
      <c r="C21" s="19"/>
      <c r="D21" s="20">
        <v>2</v>
      </c>
      <c r="E21" s="20">
        <f>3-(3-0.75)</f>
        <v>0.75</v>
      </c>
      <c r="F21" s="21">
        <v>3</v>
      </c>
      <c r="G21" s="20">
        <v>0.5</v>
      </c>
      <c r="H21" s="22">
        <f>D21*IF(OR(E21=0,E21="-"),1,E21)*IF(OR(F21=0,F21="-"),1,F21)*IF(OR(G21=0,G21="-"),1,G21)</f>
        <v>2.25</v>
      </c>
      <c r="I21" s="23" t="s">
        <v>24</v>
      </c>
      <c r="J21" s="24"/>
      <c r="K21" s="25"/>
      <c r="L21" s="26"/>
    </row>
    <row r="22" spans="1:12" x14ac:dyDescent="0.3">
      <c r="A22" s="27"/>
      <c r="B22" s="28"/>
      <c r="C22" s="29"/>
      <c r="D22" s="30"/>
      <c r="E22" s="30"/>
      <c r="F22" s="250" t="s">
        <v>26</v>
      </c>
      <c r="G22" s="250"/>
      <c r="H22" s="31">
        <f>SUM(H19:H21)</f>
        <v>73.5</v>
      </c>
      <c r="I22" s="32" t="s">
        <v>24</v>
      </c>
      <c r="J22" s="33"/>
      <c r="K22" s="34" t="str">
        <f>""</f>
        <v/>
      </c>
      <c r="L22" s="35"/>
    </row>
    <row r="23" spans="1:12" ht="31.2" x14ac:dyDescent="0.3">
      <c r="A23" s="36"/>
      <c r="B23" s="37"/>
      <c r="C23" s="38"/>
      <c r="D23" s="39"/>
      <c r="E23" s="249" t="s">
        <v>27</v>
      </c>
      <c r="F23" s="249"/>
      <c r="G23" s="249"/>
      <c r="H23" s="40">
        <f>ROUND(H22*0.0283,3)</f>
        <v>2.08</v>
      </c>
      <c r="I23" s="41" t="s">
        <v>28</v>
      </c>
      <c r="J23" s="42" t="s">
        <v>19</v>
      </c>
      <c r="K23" s="43">
        <f>IF(B18="6.1.6",_xlfn.IFS(J23="Labour Rate",496,J23="Material Rate",1947,J23="Through Rate",2442,TRUE,""),"")</f>
        <v>2442</v>
      </c>
      <c r="L23" s="44">
        <f>IF(H23*K23&lt;&gt;0,H23*K23,0)</f>
        <v>5079.3600000000006</v>
      </c>
    </row>
    <row r="24" spans="1:12" ht="14.1" customHeight="1" x14ac:dyDescent="0.3">
      <c r="A24" s="45"/>
      <c r="B24" s="46"/>
      <c r="C24" s="47"/>
      <c r="D24" s="48"/>
      <c r="E24" s="48"/>
      <c r="F24" s="49"/>
      <c r="G24" s="48"/>
      <c r="H24" s="49"/>
      <c r="I24" s="50"/>
      <c r="J24" s="51"/>
      <c r="K24" s="52"/>
      <c r="L24" s="53"/>
    </row>
    <row r="25" spans="1:12" ht="39.6" x14ac:dyDescent="0.3">
      <c r="A25" s="7">
        <f>IFERROR(LOOKUP(2,1/(ISNUMBER($A$4:$A$24)),$A$4:$A$24),0)+1</f>
        <v>4</v>
      </c>
      <c r="B25" s="8" t="s">
        <v>31</v>
      </c>
      <c r="C25" s="9" t="s">
        <v>32</v>
      </c>
      <c r="D25" s="10"/>
      <c r="E25" s="11"/>
      <c r="F25" s="12"/>
      <c r="G25" s="11"/>
      <c r="H25" s="12"/>
      <c r="I25" s="13"/>
      <c r="J25" s="14"/>
      <c r="K25" s="15"/>
      <c r="L25" s="16"/>
    </row>
    <row r="26" spans="1:12" x14ac:dyDescent="0.3">
      <c r="A26" s="17"/>
      <c r="B26" s="18"/>
      <c r="C26" s="19"/>
      <c r="D26" s="20">
        <v>3</v>
      </c>
      <c r="E26" s="20">
        <f>(2.25-0.75)+11.25</f>
        <v>12.75</v>
      </c>
      <c r="F26" s="21">
        <v>2.25</v>
      </c>
      <c r="G26" s="20">
        <v>0.5</v>
      </c>
      <c r="H26" s="22">
        <f t="shared" ref="H26:H47" si="0">D26*IF(OR(E26=0,E26="-"),1,E26)*IF(OR(F26=0,F26="-"),1,F26)*IF(OR(G26=0,G26="-"),1,G26)</f>
        <v>43.03125</v>
      </c>
      <c r="I26" s="23" t="s">
        <v>24</v>
      </c>
      <c r="J26" s="24"/>
      <c r="K26" s="25"/>
      <c r="L26" s="26"/>
    </row>
    <row r="27" spans="1:12" x14ac:dyDescent="0.3">
      <c r="A27" s="17"/>
      <c r="B27" s="18"/>
      <c r="C27" s="19"/>
      <c r="D27" s="20">
        <v>3</v>
      </c>
      <c r="E27" s="20">
        <f>E26-0.375</f>
        <v>12.375</v>
      </c>
      <c r="F27" s="21">
        <v>1.875</v>
      </c>
      <c r="G27" s="20">
        <v>0.5</v>
      </c>
      <c r="H27" s="22">
        <f t="shared" si="0"/>
        <v>34.8046875</v>
      </c>
      <c r="I27" s="23" t="s">
        <v>24</v>
      </c>
      <c r="J27" s="24"/>
      <c r="K27" s="25"/>
      <c r="L27" s="26"/>
    </row>
    <row r="28" spans="1:12" x14ac:dyDescent="0.3">
      <c r="A28" s="17"/>
      <c r="B28" s="18"/>
      <c r="C28" s="19"/>
      <c r="D28" s="20">
        <v>3</v>
      </c>
      <c r="E28" s="20">
        <f>E27-0.375</f>
        <v>12</v>
      </c>
      <c r="F28" s="21">
        <v>1.5</v>
      </c>
      <c r="G28" s="20">
        <v>0.5</v>
      </c>
      <c r="H28" s="22">
        <f t="shared" si="0"/>
        <v>27</v>
      </c>
      <c r="I28" s="23" t="s">
        <v>24</v>
      </c>
      <c r="J28" s="24"/>
      <c r="K28" s="25"/>
      <c r="L28" s="26"/>
    </row>
    <row r="29" spans="1:12" x14ac:dyDescent="0.3">
      <c r="A29" s="17"/>
      <c r="B29" s="18"/>
      <c r="C29" s="19"/>
      <c r="D29" s="20">
        <v>3</v>
      </c>
      <c r="E29" s="20">
        <f>E28-0.375</f>
        <v>11.625</v>
      </c>
      <c r="F29" s="21">
        <v>1.125</v>
      </c>
      <c r="G29" s="20">
        <v>1.5</v>
      </c>
      <c r="H29" s="22">
        <f t="shared" si="0"/>
        <v>58.8515625</v>
      </c>
      <c r="I29" s="23" t="s">
        <v>24</v>
      </c>
      <c r="J29" s="24"/>
      <c r="K29" s="25"/>
      <c r="L29" s="26"/>
    </row>
    <row r="30" spans="1:12" x14ac:dyDescent="0.3">
      <c r="A30" s="17"/>
      <c r="B30" s="18"/>
      <c r="C30" s="19"/>
      <c r="D30" s="20">
        <v>3</v>
      </c>
      <c r="E30" s="20">
        <f>E29-0.375</f>
        <v>11.25</v>
      </c>
      <c r="F30" s="21">
        <v>0.75</v>
      </c>
      <c r="G30" s="20">
        <v>1</v>
      </c>
      <c r="H30" s="22">
        <f t="shared" si="0"/>
        <v>25.3125</v>
      </c>
      <c r="I30" s="23" t="s">
        <v>24</v>
      </c>
      <c r="J30" s="24"/>
      <c r="K30" s="25"/>
      <c r="L30" s="26"/>
    </row>
    <row r="31" spans="1:12" x14ac:dyDescent="0.3">
      <c r="A31" s="17"/>
      <c r="B31" s="18"/>
      <c r="C31" s="19"/>
      <c r="D31" s="20">
        <v>4</v>
      </c>
      <c r="E31" s="20">
        <f>4-(2.25-0.75)</f>
        <v>2.5</v>
      </c>
      <c r="F31" s="21">
        <v>2.25</v>
      </c>
      <c r="G31" s="20">
        <v>0.5</v>
      </c>
      <c r="H31" s="22">
        <f t="shared" si="0"/>
        <v>11.25</v>
      </c>
      <c r="I31" s="23" t="s">
        <v>24</v>
      </c>
      <c r="J31" s="24"/>
      <c r="K31" s="25"/>
      <c r="L31" s="26"/>
    </row>
    <row r="32" spans="1:12" x14ac:dyDescent="0.3">
      <c r="A32" s="17"/>
      <c r="B32" s="18"/>
      <c r="C32" s="19"/>
      <c r="D32" s="20">
        <v>4</v>
      </c>
      <c r="E32" s="20">
        <f>E31+0.375</f>
        <v>2.875</v>
      </c>
      <c r="F32" s="21">
        <v>1.875</v>
      </c>
      <c r="G32" s="20">
        <v>0.5</v>
      </c>
      <c r="H32" s="22">
        <f t="shared" si="0"/>
        <v>10.78125</v>
      </c>
      <c r="I32" s="23" t="s">
        <v>24</v>
      </c>
      <c r="J32" s="24"/>
      <c r="K32" s="25"/>
      <c r="L32" s="26"/>
    </row>
    <row r="33" spans="1:12" x14ac:dyDescent="0.3">
      <c r="A33" s="17"/>
      <c r="B33" s="18"/>
      <c r="C33" s="19"/>
      <c r="D33" s="20">
        <v>4</v>
      </c>
      <c r="E33" s="20">
        <f>E32+0.375</f>
        <v>3.25</v>
      </c>
      <c r="F33" s="21">
        <v>1.5</v>
      </c>
      <c r="G33" s="20">
        <v>0.5</v>
      </c>
      <c r="H33" s="22">
        <f t="shared" si="0"/>
        <v>9.75</v>
      </c>
      <c r="I33" s="23" t="s">
        <v>24</v>
      </c>
      <c r="J33" s="24"/>
      <c r="K33" s="25"/>
      <c r="L33" s="26"/>
    </row>
    <row r="34" spans="1:12" x14ac:dyDescent="0.3">
      <c r="A34" s="17"/>
      <c r="B34" s="18"/>
      <c r="C34" s="19"/>
      <c r="D34" s="20">
        <v>4</v>
      </c>
      <c r="E34" s="20">
        <f>E33+0.375</f>
        <v>3.625</v>
      </c>
      <c r="F34" s="21">
        <v>1.125</v>
      </c>
      <c r="G34" s="20">
        <v>1.5</v>
      </c>
      <c r="H34" s="22">
        <f t="shared" si="0"/>
        <v>24.46875</v>
      </c>
      <c r="I34" s="23" t="s">
        <v>24</v>
      </c>
      <c r="J34" s="24"/>
      <c r="K34" s="25"/>
      <c r="L34" s="26"/>
    </row>
    <row r="35" spans="1:12" x14ac:dyDescent="0.3">
      <c r="A35" s="17"/>
      <c r="B35" s="18"/>
      <c r="C35" s="19"/>
      <c r="D35" s="20">
        <v>4</v>
      </c>
      <c r="E35" s="20">
        <f>E34+0.375</f>
        <v>4</v>
      </c>
      <c r="F35" s="21">
        <v>0.75</v>
      </c>
      <c r="G35" s="20">
        <v>1</v>
      </c>
      <c r="H35" s="22">
        <f t="shared" si="0"/>
        <v>12</v>
      </c>
      <c r="I35" s="23" t="s">
        <v>24</v>
      </c>
      <c r="J35" s="24"/>
      <c r="K35" s="25"/>
      <c r="L35" s="26"/>
    </row>
    <row r="36" spans="1:12" x14ac:dyDescent="0.3">
      <c r="A36" s="17"/>
      <c r="B36" s="18"/>
      <c r="C36" s="19"/>
      <c r="D36" s="20">
        <v>2</v>
      </c>
      <c r="E36" s="20">
        <f>3-(2.25-0.75)</f>
        <v>1.5</v>
      </c>
      <c r="F36" s="21">
        <v>2.25</v>
      </c>
      <c r="G36" s="20">
        <v>0.5</v>
      </c>
      <c r="H36" s="22">
        <f t="shared" si="0"/>
        <v>3.375</v>
      </c>
      <c r="I36" s="23" t="s">
        <v>24</v>
      </c>
      <c r="J36" s="24"/>
      <c r="K36" s="25"/>
      <c r="L36" s="26"/>
    </row>
    <row r="37" spans="1:12" x14ac:dyDescent="0.3">
      <c r="A37" s="17"/>
      <c r="B37" s="18"/>
      <c r="C37" s="19"/>
      <c r="D37" s="20">
        <v>2</v>
      </c>
      <c r="E37" s="20">
        <f>E36+0.375</f>
        <v>1.875</v>
      </c>
      <c r="F37" s="21">
        <v>1.875</v>
      </c>
      <c r="G37" s="20">
        <v>0.5</v>
      </c>
      <c r="H37" s="22">
        <f t="shared" si="0"/>
        <v>3.515625</v>
      </c>
      <c r="I37" s="23" t="s">
        <v>24</v>
      </c>
      <c r="J37" s="24"/>
      <c r="K37" s="25"/>
      <c r="L37" s="26"/>
    </row>
    <row r="38" spans="1:12" x14ac:dyDescent="0.3">
      <c r="A38" s="17"/>
      <c r="B38" s="18"/>
      <c r="C38" s="19"/>
      <c r="D38" s="20">
        <v>2</v>
      </c>
      <c r="E38" s="20">
        <f>E37+0.375</f>
        <v>2.25</v>
      </c>
      <c r="F38" s="21">
        <v>1.5</v>
      </c>
      <c r="G38" s="20">
        <v>0.5</v>
      </c>
      <c r="H38" s="22">
        <f t="shared" si="0"/>
        <v>3.375</v>
      </c>
      <c r="I38" s="23" t="s">
        <v>24</v>
      </c>
      <c r="J38" s="24"/>
      <c r="K38" s="25"/>
      <c r="L38" s="26"/>
    </row>
    <row r="39" spans="1:12" x14ac:dyDescent="0.3">
      <c r="A39" s="17"/>
      <c r="B39" s="18"/>
      <c r="C39" s="19"/>
      <c r="D39" s="20">
        <v>2</v>
      </c>
      <c r="E39" s="20">
        <f>E38+0.375</f>
        <v>2.625</v>
      </c>
      <c r="F39" s="21">
        <v>1.125</v>
      </c>
      <c r="G39" s="20">
        <v>1.5</v>
      </c>
      <c r="H39" s="22">
        <f t="shared" si="0"/>
        <v>8.859375</v>
      </c>
      <c r="I39" s="23" t="s">
        <v>24</v>
      </c>
      <c r="J39" s="24"/>
      <c r="K39" s="25"/>
      <c r="L39" s="26"/>
    </row>
    <row r="40" spans="1:12" x14ac:dyDescent="0.3">
      <c r="A40" s="17"/>
      <c r="B40" s="18"/>
      <c r="C40" s="19"/>
      <c r="D40" s="20">
        <v>2</v>
      </c>
      <c r="E40" s="20">
        <f>E39+0.375</f>
        <v>3</v>
      </c>
      <c r="F40" s="21">
        <v>0.75</v>
      </c>
      <c r="G40" s="20">
        <v>1</v>
      </c>
      <c r="H40" s="22">
        <f t="shared" si="0"/>
        <v>4.5</v>
      </c>
      <c r="I40" s="23" t="s">
        <v>24</v>
      </c>
      <c r="J40" s="24"/>
      <c r="K40" s="25"/>
      <c r="L40" s="26"/>
    </row>
    <row r="41" spans="1:12" s="56" customFormat="1" x14ac:dyDescent="0.3">
      <c r="A41" s="17"/>
      <c r="B41" s="18"/>
      <c r="C41" s="19" t="s">
        <v>33</v>
      </c>
      <c r="D41" s="20">
        <v>2</v>
      </c>
      <c r="E41" s="20">
        <v>4</v>
      </c>
      <c r="F41" s="21">
        <v>2.25</v>
      </c>
      <c r="G41" s="20">
        <v>0.58299999999999996</v>
      </c>
      <c r="H41" s="22">
        <f t="shared" si="0"/>
        <v>10.494</v>
      </c>
      <c r="I41" s="23" t="s">
        <v>24</v>
      </c>
      <c r="J41" s="24"/>
      <c r="K41" s="25"/>
      <c r="L41" s="26"/>
    </row>
    <row r="42" spans="1:12" s="56" customFormat="1" x14ac:dyDescent="0.3">
      <c r="A42" s="17"/>
      <c r="B42" s="18"/>
      <c r="C42" s="19"/>
      <c r="D42" s="20">
        <v>2</v>
      </c>
      <c r="E42" s="20">
        <v>4</v>
      </c>
      <c r="F42" s="21">
        <v>1.5</v>
      </c>
      <c r="G42" s="20">
        <v>0.58299999999999996</v>
      </c>
      <c r="H42" s="22">
        <f t="shared" si="0"/>
        <v>6.9959999999999996</v>
      </c>
      <c r="I42" s="23" t="s">
        <v>24</v>
      </c>
      <c r="J42" s="24"/>
      <c r="K42" s="25"/>
      <c r="L42" s="26"/>
    </row>
    <row r="43" spans="1:12" s="56" customFormat="1" x14ac:dyDescent="0.3">
      <c r="A43" s="17"/>
      <c r="B43" s="18"/>
      <c r="C43" s="19"/>
      <c r="D43" s="20">
        <v>2</v>
      </c>
      <c r="E43" s="20">
        <v>4</v>
      </c>
      <c r="F43" s="21">
        <v>0.75</v>
      </c>
      <c r="G43" s="20">
        <v>0.58299999999999996</v>
      </c>
      <c r="H43" s="22">
        <f t="shared" si="0"/>
        <v>3.4979999999999998</v>
      </c>
      <c r="I43" s="23" t="s">
        <v>24</v>
      </c>
      <c r="J43" s="24"/>
      <c r="K43" s="25"/>
      <c r="L43" s="26"/>
    </row>
    <row r="44" spans="1:12" s="56" customFormat="1" x14ac:dyDescent="0.3">
      <c r="A44" s="17"/>
      <c r="B44" s="18"/>
      <c r="C44" s="19" t="s">
        <v>25</v>
      </c>
      <c r="D44" s="20">
        <v>2</v>
      </c>
      <c r="E44" s="20">
        <f>2.5+2.5+2.5+0.75+1.5</f>
        <v>9.75</v>
      </c>
      <c r="F44" s="21">
        <v>0.75</v>
      </c>
      <c r="G44" s="20">
        <v>5</v>
      </c>
      <c r="H44" s="22">
        <f t="shared" si="0"/>
        <v>73.125</v>
      </c>
      <c r="I44" s="23" t="s">
        <v>24</v>
      </c>
      <c r="J44" s="24"/>
      <c r="K44" s="25"/>
      <c r="L44" s="26"/>
    </row>
    <row r="45" spans="1:12" s="56" customFormat="1" x14ac:dyDescent="0.3">
      <c r="A45" s="17"/>
      <c r="B45" s="18"/>
      <c r="C45" s="19"/>
      <c r="D45" s="20">
        <v>2</v>
      </c>
      <c r="E45" s="20">
        <v>4</v>
      </c>
      <c r="F45" s="21">
        <v>0.75</v>
      </c>
      <c r="G45" s="20">
        <v>5</v>
      </c>
      <c r="H45" s="22">
        <f t="shared" si="0"/>
        <v>30</v>
      </c>
      <c r="I45" s="23" t="s">
        <v>24</v>
      </c>
      <c r="J45" s="24"/>
      <c r="K45" s="25"/>
      <c r="L45" s="26"/>
    </row>
    <row r="46" spans="1:12" s="56" customFormat="1" x14ac:dyDescent="0.3">
      <c r="A46" s="17"/>
      <c r="B46" s="18"/>
      <c r="C46" s="19"/>
      <c r="D46" s="20">
        <v>2</v>
      </c>
      <c r="E46" s="20">
        <v>4</v>
      </c>
      <c r="F46" s="21">
        <v>0.375</v>
      </c>
      <c r="G46" s="20">
        <v>5</v>
      </c>
      <c r="H46" s="22">
        <f t="shared" si="0"/>
        <v>15</v>
      </c>
      <c r="I46" s="23" t="s">
        <v>24</v>
      </c>
      <c r="J46" s="24"/>
      <c r="K46" s="25"/>
      <c r="L46" s="26"/>
    </row>
    <row r="47" spans="1:12" s="56" customFormat="1" x14ac:dyDescent="0.3">
      <c r="A47" s="17"/>
      <c r="B47" s="18"/>
      <c r="C47" s="19"/>
      <c r="D47" s="20">
        <v>3</v>
      </c>
      <c r="E47" s="20">
        <v>2.5</v>
      </c>
      <c r="F47" s="21">
        <v>4</v>
      </c>
      <c r="G47" s="20">
        <v>0.25</v>
      </c>
      <c r="H47" s="22">
        <f t="shared" si="0"/>
        <v>7.5</v>
      </c>
      <c r="I47" s="23" t="s">
        <v>24</v>
      </c>
      <c r="J47" s="24"/>
      <c r="K47" s="25"/>
      <c r="L47" s="26"/>
    </row>
    <row r="48" spans="1:12" x14ac:dyDescent="0.3">
      <c r="A48" s="27"/>
      <c r="B48" s="28"/>
      <c r="C48" s="29"/>
      <c r="D48" s="30"/>
      <c r="E48" s="30"/>
      <c r="F48" s="250" t="s">
        <v>26</v>
      </c>
      <c r="G48" s="250"/>
      <c r="H48" s="31">
        <f>SUM(H26:H47)</f>
        <v>427.488</v>
      </c>
      <c r="I48" s="32" t="s">
        <v>24</v>
      </c>
      <c r="J48" s="33"/>
      <c r="K48" s="34" t="str">
        <f>""</f>
        <v/>
      </c>
      <c r="L48" s="35"/>
    </row>
    <row r="49" spans="1:12" ht="46.8" x14ac:dyDescent="0.3">
      <c r="A49" s="36"/>
      <c r="B49" s="37"/>
      <c r="C49" s="38"/>
      <c r="D49" s="39"/>
      <c r="E49" s="249" t="s">
        <v>27</v>
      </c>
      <c r="F49" s="249"/>
      <c r="G49" s="249"/>
      <c r="H49" s="40">
        <f>ROUND(H48*0.0283,3)</f>
        <v>12.098000000000001</v>
      </c>
      <c r="I49" s="41" t="s">
        <v>28</v>
      </c>
      <c r="J49" s="42" t="s">
        <v>34</v>
      </c>
      <c r="K49" s="43">
        <f>IF(B25="7.21.2",_xlfn.IFS(J49="Labour rates Amnd",823,J49="Material rates Amnd",3144,J49="Through rates Amnd",3968,J49="Labour Rate",387,J49="Material Rate",3144,J49="Through Rate",3531,TRUE,""),"")</f>
        <v>3968</v>
      </c>
      <c r="L49" s="44">
        <f>IF(H49*K49&lt;&gt;0,H49*K49,0)</f>
        <v>48004.864000000001</v>
      </c>
    </row>
    <row r="50" spans="1:12" ht="14.1" customHeight="1" x14ac:dyDescent="0.3">
      <c r="A50" s="45"/>
      <c r="B50" s="46"/>
      <c r="C50" s="47"/>
      <c r="D50" s="48"/>
      <c r="E50" s="48"/>
      <c r="F50" s="49"/>
      <c r="G50" s="48"/>
      <c r="H50" s="49"/>
      <c r="I50" s="50"/>
      <c r="J50" s="51"/>
      <c r="K50" s="52"/>
      <c r="L50" s="53"/>
    </row>
    <row r="51" spans="1:12" ht="150" x14ac:dyDescent="0.3">
      <c r="A51" s="7">
        <f>IFERROR(LOOKUP(2,1/(ISNUMBER($A$4:$A$50)),$A$4:$A$50),0)+1</f>
        <v>5</v>
      </c>
      <c r="B51" s="8" t="s">
        <v>35</v>
      </c>
      <c r="C51" s="9" t="s">
        <v>36</v>
      </c>
      <c r="D51" s="10"/>
      <c r="E51" s="11"/>
      <c r="F51" s="12"/>
      <c r="G51" s="11"/>
      <c r="H51" s="12"/>
      <c r="I51" s="13"/>
      <c r="J51" s="14"/>
      <c r="K51" s="15"/>
      <c r="L51" s="16"/>
    </row>
    <row r="52" spans="1:12" s="56" customFormat="1" x14ac:dyDescent="0.3">
      <c r="A52" s="17"/>
      <c r="B52" s="18"/>
      <c r="C52" s="19" t="s">
        <v>37</v>
      </c>
      <c r="D52" s="20"/>
      <c r="E52" s="20"/>
      <c r="F52" s="21"/>
      <c r="G52" s="20"/>
      <c r="H52" s="57"/>
      <c r="I52" s="23"/>
      <c r="J52" s="24"/>
      <c r="K52" s="25"/>
      <c r="L52" s="26"/>
    </row>
    <row r="53" spans="1:12" s="56" customFormat="1" ht="16.2" x14ac:dyDescent="0.3">
      <c r="A53" s="17"/>
      <c r="B53" s="18"/>
      <c r="C53" s="58" t="s">
        <v>38</v>
      </c>
      <c r="D53" s="20"/>
      <c r="E53" s="20"/>
      <c r="F53" s="21"/>
      <c r="G53" s="20"/>
      <c r="H53" s="57"/>
      <c r="I53" s="23"/>
      <c r="J53" s="24"/>
      <c r="K53" s="25"/>
      <c r="L53" s="26"/>
    </row>
    <row r="54" spans="1:12" s="56" customFormat="1" x14ac:dyDescent="0.3">
      <c r="A54" s="17"/>
      <c r="B54" s="18"/>
      <c r="C54" s="19"/>
      <c r="D54" s="20">
        <v>3</v>
      </c>
      <c r="E54" s="20">
        <v>6</v>
      </c>
      <c r="F54" s="21">
        <v>11.25</v>
      </c>
      <c r="G54" s="20"/>
      <c r="H54" s="22">
        <f>D54*IF(OR(E54=0,E54="-"),1,E54)*IF(OR(F54=0,F54="-"),1,F54)*IF(OR(G54=0,G54="-"),1,G54)</f>
        <v>202.5</v>
      </c>
      <c r="I54" s="23" t="s">
        <v>39</v>
      </c>
      <c r="J54" s="24"/>
      <c r="K54" s="25"/>
      <c r="L54" s="26"/>
    </row>
    <row r="55" spans="1:12" s="56" customFormat="1" x14ac:dyDescent="0.3">
      <c r="A55" s="17"/>
      <c r="B55" s="18"/>
      <c r="C55" s="19"/>
      <c r="D55" s="20">
        <v>2</v>
      </c>
      <c r="E55" s="20">
        <v>6</v>
      </c>
      <c r="F55" s="21">
        <f>7+1.5+0.75</f>
        <v>9.25</v>
      </c>
      <c r="G55" s="20"/>
      <c r="H55" s="22">
        <f>D55*IF(OR(E55=0,E55="-"),1,E55)*IF(OR(F55=0,F55="-"),1,F55)*IF(OR(G55=0,G55="-"),1,G55)</f>
        <v>111</v>
      </c>
      <c r="I55" s="23" t="s">
        <v>39</v>
      </c>
      <c r="J55" s="24"/>
      <c r="K55" s="25"/>
      <c r="L55" s="26"/>
    </row>
    <row r="56" spans="1:12" s="56" customFormat="1" x14ac:dyDescent="0.3">
      <c r="A56" s="17"/>
      <c r="B56" s="18"/>
      <c r="C56" s="19" t="s">
        <v>40</v>
      </c>
      <c r="D56" s="20">
        <v>9</v>
      </c>
      <c r="E56" s="20">
        <v>9.25</v>
      </c>
      <c r="F56" s="21"/>
      <c r="G56" s="20"/>
      <c r="H56" s="22">
        <f>D56*IF(OR(E56=0,E56="-"),1,E56)*IF(OR(F56=0,F56="-"),1,F56)*IF(OR(G56=0,G56="-"),1,G56)</f>
        <v>83.25</v>
      </c>
      <c r="I56" s="23" t="s">
        <v>39</v>
      </c>
      <c r="J56" s="24"/>
      <c r="K56" s="25"/>
      <c r="L56" s="26"/>
    </row>
    <row r="57" spans="1:12" s="56" customFormat="1" x14ac:dyDescent="0.3">
      <c r="A57" s="17"/>
      <c r="B57" s="18"/>
      <c r="C57" s="19"/>
      <c r="D57" s="20">
        <v>19</v>
      </c>
      <c r="E57" s="20">
        <v>5.5</v>
      </c>
      <c r="F57" s="21"/>
      <c r="G57" s="20"/>
      <c r="H57" s="22">
        <f>D57*IF(OR(E57=0,E57="-"),1,E57)*IF(OR(F57=0,F57="-"),1,F57)*IF(OR(G57=0,G57="-"),1,G57)</f>
        <v>104.5</v>
      </c>
      <c r="I57" s="23" t="s">
        <v>39</v>
      </c>
      <c r="J57" s="24"/>
      <c r="K57" s="25"/>
      <c r="L57" s="26"/>
    </row>
    <row r="58" spans="1:12" s="56" customFormat="1" x14ac:dyDescent="0.3">
      <c r="A58" s="27"/>
      <c r="B58" s="28"/>
      <c r="C58" s="29"/>
      <c r="D58" s="30"/>
      <c r="E58" s="30"/>
      <c r="F58" s="250" t="s">
        <v>41</v>
      </c>
      <c r="G58" s="250"/>
      <c r="H58" s="31">
        <f>SUM(H54:H57)</f>
        <v>501.25</v>
      </c>
      <c r="I58" s="32" t="s">
        <v>39</v>
      </c>
      <c r="J58" s="33"/>
      <c r="K58" s="59"/>
      <c r="L58" s="35"/>
    </row>
    <row r="59" spans="1:12" s="56" customFormat="1" x14ac:dyDescent="0.3">
      <c r="A59" s="60"/>
      <c r="B59" s="37"/>
      <c r="C59" s="38"/>
      <c r="D59" s="39"/>
      <c r="E59" s="249" t="s">
        <v>42</v>
      </c>
      <c r="F59" s="249"/>
      <c r="G59" s="249"/>
      <c r="H59" s="40">
        <f>ROUND(H58*0.3048,3)</f>
        <v>152.78100000000001</v>
      </c>
      <c r="I59" s="61" t="s">
        <v>43</v>
      </c>
      <c r="J59" s="42"/>
      <c r="K59" s="62"/>
      <c r="L59" s="63"/>
    </row>
    <row r="60" spans="1:12" s="56" customFormat="1" ht="30.9" customHeight="1" x14ac:dyDescent="0.3">
      <c r="A60" s="64"/>
      <c r="B60" s="65"/>
      <c r="C60" s="66"/>
      <c r="D60" s="67"/>
      <c r="E60" s="256" t="s">
        <v>44</v>
      </c>
      <c r="F60" s="256"/>
      <c r="G60" s="256"/>
      <c r="H60" s="68">
        <f>(H59*12^2)/162</f>
        <v>135.80533333333332</v>
      </c>
      <c r="I60" s="69" t="s">
        <v>45</v>
      </c>
      <c r="J60" s="70" t="s">
        <v>46</v>
      </c>
      <c r="K60" s="71"/>
      <c r="L60" s="72"/>
    </row>
    <row r="61" spans="1:12" s="56" customFormat="1" ht="14.1" customHeight="1" x14ac:dyDescent="0.3">
      <c r="A61" s="45"/>
      <c r="B61" s="46"/>
      <c r="C61" s="47"/>
      <c r="D61" s="48"/>
      <c r="E61" s="48"/>
      <c r="F61" s="49"/>
      <c r="G61" s="48"/>
      <c r="H61" s="49"/>
      <c r="I61" s="50"/>
      <c r="J61" s="51"/>
      <c r="K61" s="52"/>
      <c r="L61" s="53"/>
    </row>
    <row r="62" spans="1:12" s="56" customFormat="1" x14ac:dyDescent="0.3">
      <c r="A62" s="17"/>
      <c r="B62" s="18"/>
      <c r="C62" s="19" t="s">
        <v>47</v>
      </c>
      <c r="D62" s="20"/>
      <c r="E62" s="20"/>
      <c r="F62" s="21"/>
      <c r="G62" s="20"/>
      <c r="H62" s="57"/>
      <c r="I62" s="23"/>
      <c r="J62" s="24"/>
      <c r="K62" s="25"/>
      <c r="L62" s="26"/>
    </row>
    <row r="63" spans="1:12" s="56" customFormat="1" ht="16.2" x14ac:dyDescent="0.3">
      <c r="A63" s="17"/>
      <c r="B63" s="18"/>
      <c r="C63" s="58" t="s">
        <v>48</v>
      </c>
      <c r="D63" s="20"/>
      <c r="E63" s="20"/>
      <c r="F63" s="21"/>
      <c r="G63" s="20"/>
      <c r="H63" s="57"/>
      <c r="I63" s="23"/>
      <c r="J63" s="24"/>
      <c r="K63" s="25"/>
      <c r="L63" s="26"/>
    </row>
    <row r="64" spans="1:12" s="56" customFormat="1" x14ac:dyDescent="0.3">
      <c r="A64" s="17"/>
      <c r="B64" s="18"/>
      <c r="C64" s="19"/>
      <c r="D64" s="20">
        <v>3</v>
      </c>
      <c r="E64" s="20">
        <v>22</v>
      </c>
      <c r="F64" s="21">
        <v>2.66</v>
      </c>
      <c r="G64" s="20"/>
      <c r="H64" s="22">
        <f>D64*IF(OR(E64=0,E64="-"),1,E64)*IF(OR(F64=0,F64="-"),1,F64)*IF(OR(G64=0,G64="-"),1,G64)</f>
        <v>175.56</v>
      </c>
      <c r="I64" s="23" t="s">
        <v>39</v>
      </c>
      <c r="J64" s="24"/>
      <c r="K64" s="25"/>
      <c r="L64" s="26"/>
    </row>
    <row r="65" spans="1:12" s="56" customFormat="1" x14ac:dyDescent="0.3">
      <c r="A65" s="17"/>
      <c r="B65" s="18"/>
      <c r="C65" s="19"/>
      <c r="D65" s="20">
        <v>2</v>
      </c>
      <c r="E65" s="20">
        <v>18</v>
      </c>
      <c r="F65" s="21">
        <v>2.66</v>
      </c>
      <c r="G65" s="20"/>
      <c r="H65" s="22">
        <f>D65*IF(OR(E65=0,E65="-"),1,E65)*IF(OR(F65=0,F65="-"),1,F65)*IF(OR(G65=0,G65="-"),1,G65)</f>
        <v>95.76</v>
      </c>
      <c r="I65" s="23" t="s">
        <v>39</v>
      </c>
      <c r="J65" s="24"/>
      <c r="K65" s="25"/>
      <c r="L65" s="26"/>
    </row>
    <row r="66" spans="1:12" x14ac:dyDescent="0.3">
      <c r="A66" s="27"/>
      <c r="B66" s="28"/>
      <c r="C66" s="29"/>
      <c r="D66" s="30"/>
      <c r="E66" s="30"/>
      <c r="F66" s="250" t="s">
        <v>41</v>
      </c>
      <c r="G66" s="250"/>
      <c r="H66" s="31">
        <f>SUM(H64:H65)</f>
        <v>271.32</v>
      </c>
      <c r="I66" s="32" t="s">
        <v>39</v>
      </c>
      <c r="J66" s="33"/>
      <c r="K66" s="59"/>
      <c r="L66" s="35"/>
    </row>
    <row r="67" spans="1:12" x14ac:dyDescent="0.3">
      <c r="A67" s="60"/>
      <c r="B67" s="37"/>
      <c r="C67" s="38"/>
      <c r="D67" s="39"/>
      <c r="E67" s="249" t="s">
        <v>42</v>
      </c>
      <c r="F67" s="249"/>
      <c r="G67" s="249"/>
      <c r="H67" s="40">
        <f>ROUND(H66*0.3048,3)</f>
        <v>82.697999999999993</v>
      </c>
      <c r="I67" s="61" t="s">
        <v>43</v>
      </c>
      <c r="J67" s="42"/>
      <c r="K67" s="62"/>
      <c r="L67" s="63"/>
    </row>
    <row r="68" spans="1:12" ht="30.9" customHeight="1" x14ac:dyDescent="0.3">
      <c r="A68" s="73"/>
      <c r="B68" s="74"/>
      <c r="C68" s="75"/>
      <c r="D68" s="76"/>
      <c r="E68" s="257" t="s">
        <v>49</v>
      </c>
      <c r="F68" s="257"/>
      <c r="G68" s="257"/>
      <c r="H68" s="77">
        <f>(H67*8^2)/162</f>
        <v>32.670814814814811</v>
      </c>
      <c r="I68" s="78" t="s">
        <v>45</v>
      </c>
      <c r="J68" s="79" t="s">
        <v>50</v>
      </c>
      <c r="K68" s="80"/>
      <c r="L68" s="81"/>
    </row>
    <row r="69" spans="1:12" ht="14.1" customHeight="1" x14ac:dyDescent="0.3">
      <c r="A69" s="82"/>
      <c r="B69" s="83"/>
      <c r="C69" s="84"/>
      <c r="D69" s="85"/>
      <c r="E69" s="84"/>
      <c r="F69" s="84"/>
      <c r="G69" s="84"/>
      <c r="H69" s="84"/>
      <c r="I69" s="86"/>
      <c r="J69" s="84"/>
      <c r="K69" s="87" t="str">
        <f>""</f>
        <v/>
      </c>
      <c r="L69" s="88"/>
    </row>
    <row r="70" spans="1:12" ht="30.9" customHeight="1" x14ac:dyDescent="0.3">
      <c r="A70" s="89"/>
      <c r="B70" s="90"/>
      <c r="C70" s="91"/>
      <c r="D70" s="90"/>
      <c r="E70" s="258" t="s">
        <v>51</v>
      </c>
      <c r="F70" s="258"/>
      <c r="G70" s="258"/>
      <c r="H70" s="92">
        <f>SUM(H60,H68)</f>
        <v>168.47614814814813</v>
      </c>
      <c r="I70" s="93" t="s">
        <v>45</v>
      </c>
      <c r="J70" s="94" t="s">
        <v>34</v>
      </c>
      <c r="K70" s="95">
        <f>IF(B51="6.34.6",_xlfn.IFS(J70="Labour rates Amnd",6,J70="Material rates Amnd",62,J70="Through rates Amnd",68,J70="Labour Rate",2,J70="Material Rate",59,J70="Through Rate",61,TRUE,""),"")</f>
        <v>68</v>
      </c>
      <c r="L70" s="96">
        <f>IF(H70*K70&lt;&gt;0,H70*K70,0)</f>
        <v>11456.378074074073</v>
      </c>
    </row>
    <row r="71" spans="1:12" ht="14.1" customHeight="1" x14ac:dyDescent="0.3">
      <c r="A71" s="82"/>
      <c r="B71" s="83"/>
      <c r="C71" s="84"/>
      <c r="D71" s="85"/>
      <c r="E71" s="84"/>
      <c r="F71" s="84"/>
      <c r="G71" s="84"/>
      <c r="H71" s="84"/>
      <c r="I71" s="86"/>
      <c r="J71" s="84"/>
      <c r="K71" s="84"/>
      <c r="L71" s="88"/>
    </row>
    <row r="72" spans="1:12" ht="79.2" x14ac:dyDescent="0.3">
      <c r="A72" s="97">
        <f>IFERROR(LOOKUP(2,1/(ISNUMBER($A$4:$A$71)),$A$4:$A$71),0)+1</f>
        <v>6</v>
      </c>
      <c r="B72" s="98" t="s">
        <v>52</v>
      </c>
      <c r="C72" s="99" t="s">
        <v>53</v>
      </c>
      <c r="D72" s="100"/>
      <c r="E72" s="101"/>
      <c r="F72" s="102"/>
      <c r="G72" s="101"/>
      <c r="H72" s="102"/>
      <c r="I72" s="103"/>
      <c r="J72" s="104"/>
      <c r="K72" s="105"/>
      <c r="L72" s="106"/>
    </row>
    <row r="73" spans="1:12" x14ac:dyDescent="0.3">
      <c r="A73" s="17"/>
      <c r="B73" s="18"/>
      <c r="C73" s="107" t="s">
        <v>37</v>
      </c>
      <c r="D73" s="20"/>
      <c r="E73" s="20"/>
      <c r="F73" s="21"/>
      <c r="G73" s="20"/>
      <c r="H73" s="57"/>
      <c r="I73" s="23"/>
      <c r="J73" s="24"/>
      <c r="K73" s="25"/>
      <c r="L73" s="26"/>
    </row>
    <row r="74" spans="1:12" x14ac:dyDescent="0.3">
      <c r="A74" s="17"/>
      <c r="B74" s="18"/>
      <c r="C74" s="19"/>
      <c r="D74" s="20">
        <v>3</v>
      </c>
      <c r="E74" s="20">
        <v>11.25</v>
      </c>
      <c r="F74" s="21">
        <v>0.75</v>
      </c>
      <c r="G74" s="20">
        <v>0.75</v>
      </c>
      <c r="H74" s="22">
        <f>D74*IF(OR(E74=0,E74="-"),1,E74)*IF(OR(F74=0,F74="-"),1,F74)*IF(OR(G74=0,G74="-"),1,G74)</f>
        <v>18.984375</v>
      </c>
      <c r="I74" s="23" t="s">
        <v>24</v>
      </c>
      <c r="J74" s="24"/>
      <c r="K74" s="25"/>
      <c r="L74" s="26"/>
    </row>
    <row r="75" spans="1:12" s="56" customFormat="1" x14ac:dyDescent="0.3">
      <c r="A75" s="17"/>
      <c r="B75" s="18"/>
      <c r="C75" s="19"/>
      <c r="D75" s="20">
        <v>4</v>
      </c>
      <c r="E75" s="20">
        <v>4</v>
      </c>
      <c r="F75" s="21">
        <v>0.75</v>
      </c>
      <c r="G75" s="20">
        <v>0.75</v>
      </c>
      <c r="H75" s="22">
        <f>D75*IF(OR(E75=0,E75="-"),1,E75)*IF(OR(F75=0,F75="-"),1,F75)*IF(OR(G75=0,G75="-"),1,G75)</f>
        <v>9</v>
      </c>
      <c r="I75" s="23" t="s">
        <v>24</v>
      </c>
      <c r="J75" s="24"/>
      <c r="K75" s="25"/>
      <c r="L75" s="26"/>
    </row>
    <row r="76" spans="1:12" s="56" customFormat="1" x14ac:dyDescent="0.3">
      <c r="A76" s="17"/>
      <c r="B76" s="18"/>
      <c r="C76" s="19"/>
      <c r="D76" s="20">
        <v>2</v>
      </c>
      <c r="E76" s="20">
        <v>3</v>
      </c>
      <c r="F76" s="21">
        <v>0.75</v>
      </c>
      <c r="G76" s="20">
        <v>0.75</v>
      </c>
      <c r="H76" s="22">
        <f>D76*IF(OR(E76=0,E76="-"),1,E76)*IF(OR(F76=0,F76="-"),1,F76)*IF(OR(G76=0,G76="-"),1,G76)</f>
        <v>3.375</v>
      </c>
      <c r="I76" s="23" t="s">
        <v>24</v>
      </c>
      <c r="J76" s="24"/>
      <c r="K76" s="25"/>
      <c r="L76" s="26"/>
    </row>
    <row r="77" spans="1:12" s="56" customFormat="1" x14ac:dyDescent="0.3">
      <c r="A77" s="17"/>
      <c r="B77" s="18"/>
      <c r="C77" s="19" t="s">
        <v>54</v>
      </c>
      <c r="D77" s="20">
        <v>1</v>
      </c>
      <c r="E77" s="20">
        <v>9.25</v>
      </c>
      <c r="F77" s="21">
        <v>5.5</v>
      </c>
      <c r="G77" s="20">
        <v>0.5</v>
      </c>
      <c r="H77" s="22">
        <f>D77*IF(OR(E77=0,E77="-"),1,E77)*IF(OR(F77=0,F77="-"),1,F77)*IF(OR(G77=0,G77="-"),1,G77)</f>
        <v>25.4375</v>
      </c>
      <c r="I77" s="23" t="s">
        <v>24</v>
      </c>
      <c r="J77" s="24"/>
      <c r="K77" s="25"/>
      <c r="L77" s="26"/>
    </row>
    <row r="78" spans="1:12" x14ac:dyDescent="0.3">
      <c r="A78" s="27"/>
      <c r="B78" s="28"/>
      <c r="C78" s="29"/>
      <c r="D78" s="30"/>
      <c r="E78" s="30"/>
      <c r="F78" s="250" t="s">
        <v>26</v>
      </c>
      <c r="G78" s="250"/>
      <c r="H78" s="31">
        <f>SUM(H74:H77)</f>
        <v>56.796875</v>
      </c>
      <c r="I78" s="32" t="s">
        <v>24</v>
      </c>
      <c r="J78" s="33"/>
      <c r="K78" s="34" t="str">
        <f>""</f>
        <v/>
      </c>
      <c r="L78" s="35"/>
    </row>
    <row r="79" spans="1:12" ht="31.2" x14ac:dyDescent="0.3">
      <c r="A79" s="36"/>
      <c r="B79" s="37"/>
      <c r="C79" s="38"/>
      <c r="D79" s="39"/>
      <c r="E79" s="249" t="s">
        <v>27</v>
      </c>
      <c r="F79" s="249"/>
      <c r="G79" s="249"/>
      <c r="H79" s="40">
        <f>ROUND(H78*0.0283,3)</f>
        <v>1.607</v>
      </c>
      <c r="I79" s="41" t="s">
        <v>28</v>
      </c>
      <c r="J79" s="42" t="s">
        <v>19</v>
      </c>
      <c r="K79" s="43">
        <f>IF(B72="6.14.1",_xlfn.IFS(J79="Labour Rate",1172,J79="Material Rate",3203,J79="Through Rate",4374,TRUE,""),"")</f>
        <v>4374</v>
      </c>
      <c r="L79" s="44">
        <f>IF(H79*K79&lt;&gt;0,H79*K79,0)</f>
        <v>7029.018</v>
      </c>
    </row>
    <row r="80" spans="1:12" ht="14.1" customHeight="1" x14ac:dyDescent="0.3">
      <c r="A80" s="45"/>
      <c r="B80" s="46"/>
      <c r="C80" s="47"/>
      <c r="D80" s="48"/>
      <c r="E80" s="48"/>
      <c r="F80" s="49"/>
      <c r="G80" s="48"/>
      <c r="H80" s="49"/>
      <c r="I80" s="50"/>
      <c r="J80" s="51"/>
      <c r="K80" s="52"/>
      <c r="L80" s="53"/>
    </row>
    <row r="81" spans="1:12" ht="53.4" x14ac:dyDescent="0.3">
      <c r="A81" s="7">
        <f>IFERROR(LOOKUP(2,1/(ISNUMBER($A$4:$A$80)),$A$4:$A$80),0)+1</f>
        <v>7</v>
      </c>
      <c r="B81" s="8" t="s">
        <v>55</v>
      </c>
      <c r="C81" s="9" t="s">
        <v>56</v>
      </c>
      <c r="D81" s="10"/>
      <c r="E81" s="11"/>
      <c r="F81" s="12"/>
      <c r="G81" s="11"/>
      <c r="H81" s="12"/>
      <c r="I81" s="13"/>
      <c r="J81" s="14"/>
      <c r="K81" s="15"/>
      <c r="L81" s="16"/>
    </row>
    <row r="82" spans="1:12" x14ac:dyDescent="0.3">
      <c r="A82" s="17"/>
      <c r="B82" s="18"/>
      <c r="C82" s="19"/>
      <c r="D82" s="20">
        <v>6</v>
      </c>
      <c r="E82" s="20">
        <v>11.25</v>
      </c>
      <c r="F82" s="21">
        <v>0.75</v>
      </c>
      <c r="G82" s="20"/>
      <c r="H82" s="22">
        <f>D82*IF(OR(E82=0,E82="-"),1,E82)*IF(OR(F82=0,F82="-"),1,F82)*IF(OR(G82=0,G82="-"),1,G82)</f>
        <v>50.625</v>
      </c>
      <c r="I82" s="23" t="s">
        <v>15</v>
      </c>
      <c r="J82" s="24"/>
      <c r="K82" s="25"/>
      <c r="L82" s="26"/>
    </row>
    <row r="83" spans="1:12" x14ac:dyDescent="0.3">
      <c r="A83" s="17"/>
      <c r="B83" s="18"/>
      <c r="C83" s="19"/>
      <c r="D83" s="20">
        <v>8</v>
      </c>
      <c r="E83" s="20">
        <v>4</v>
      </c>
      <c r="F83" s="21">
        <v>0.75</v>
      </c>
      <c r="G83" s="20"/>
      <c r="H83" s="22">
        <f>D83*IF(OR(E83=0,E83="-"),1,E83)*IF(OR(F83=0,F83="-"),1,F83)*IF(OR(G83=0,G83="-"),1,G83)</f>
        <v>24</v>
      </c>
      <c r="I83" s="23" t="s">
        <v>15</v>
      </c>
      <c r="J83" s="24"/>
      <c r="K83" s="25"/>
      <c r="L83" s="26"/>
    </row>
    <row r="84" spans="1:12" x14ac:dyDescent="0.3">
      <c r="A84" s="17"/>
      <c r="B84" s="18"/>
      <c r="C84" s="19"/>
      <c r="D84" s="20">
        <v>4</v>
      </c>
      <c r="E84" s="20">
        <v>3</v>
      </c>
      <c r="F84" s="21">
        <v>0.75</v>
      </c>
      <c r="G84" s="20"/>
      <c r="H84" s="22">
        <f>D84*IF(OR(E84=0,E84="-"),1,E84)*IF(OR(F84=0,F84="-"),1,F84)*IF(OR(G84=0,G84="-"),1,G84)</f>
        <v>9</v>
      </c>
      <c r="I84" s="23" t="s">
        <v>15</v>
      </c>
      <c r="J84" s="24"/>
      <c r="K84" s="25"/>
      <c r="L84" s="26"/>
    </row>
    <row r="85" spans="1:12" x14ac:dyDescent="0.3">
      <c r="A85" s="17"/>
      <c r="B85" s="18"/>
      <c r="C85" s="19"/>
      <c r="D85" s="20">
        <v>1</v>
      </c>
      <c r="E85" s="20">
        <v>9.25</v>
      </c>
      <c r="F85" s="21">
        <v>5.5</v>
      </c>
      <c r="G85" s="20"/>
      <c r="H85" s="22">
        <f>D85*IF(OR(E85=0,E85="-"),1,E85)*IF(OR(F85=0,F85="-"),1,F85)*IF(OR(G85=0,G85="-"),1,G85)</f>
        <v>50.875</v>
      </c>
      <c r="I85" s="23" t="s">
        <v>15</v>
      </c>
      <c r="J85" s="24"/>
      <c r="K85" s="25"/>
      <c r="L85" s="26"/>
    </row>
    <row r="86" spans="1:12" x14ac:dyDescent="0.3">
      <c r="A86" s="27"/>
      <c r="B86" s="28"/>
      <c r="C86" s="29"/>
      <c r="D86" s="30"/>
      <c r="E86" s="30"/>
      <c r="F86" s="250" t="s">
        <v>16</v>
      </c>
      <c r="G86" s="250"/>
      <c r="H86" s="31">
        <f>SUM(H82:H85)</f>
        <v>134.5</v>
      </c>
      <c r="I86" s="32" t="s">
        <v>15</v>
      </c>
      <c r="J86" s="33"/>
      <c r="K86" s="34" t="str">
        <f>""</f>
        <v/>
      </c>
      <c r="L86" s="35"/>
    </row>
    <row r="87" spans="1:12" ht="31.2" x14ac:dyDescent="0.3">
      <c r="A87" s="36"/>
      <c r="B87" s="37"/>
      <c r="C87" s="38"/>
      <c r="D87" s="39"/>
      <c r="E87" s="249" t="s">
        <v>17</v>
      </c>
      <c r="F87" s="249"/>
      <c r="G87" s="249"/>
      <c r="H87" s="40">
        <f>ROUND(H86*0.0929,3)</f>
        <v>12.494999999999999</v>
      </c>
      <c r="I87" s="41" t="s">
        <v>18</v>
      </c>
      <c r="J87" s="42" t="s">
        <v>19</v>
      </c>
      <c r="K87" s="43">
        <f>IF(B81="6.30.5",_xlfn.IFS(J87="Labour Rate",220,J87="Material Rate",77,J87="Through Rate",296,TRUE,""),"")</f>
        <v>296</v>
      </c>
      <c r="L87" s="44">
        <f>IF(H87*K87&lt;&gt;0,H87*K87,0)</f>
        <v>3698.52</v>
      </c>
    </row>
    <row r="88" spans="1:12" ht="14.1" customHeight="1" x14ac:dyDescent="0.3">
      <c r="A88" s="45"/>
      <c r="B88" s="46"/>
      <c r="C88" s="47"/>
      <c r="D88" s="48"/>
      <c r="E88" s="48"/>
      <c r="F88" s="49"/>
      <c r="G88" s="48"/>
      <c r="H88" s="49"/>
      <c r="I88" s="50"/>
      <c r="J88" s="51"/>
      <c r="K88" s="52"/>
      <c r="L88" s="53"/>
    </row>
    <row r="89" spans="1:12" ht="39.6" x14ac:dyDescent="0.3">
      <c r="A89" s="7">
        <f>IFERROR(LOOKUP(2,1/(ISNUMBER($A$4:$A$88)),$A$4:$A$88),0)+1</f>
        <v>8</v>
      </c>
      <c r="B89" s="8" t="s">
        <v>31</v>
      </c>
      <c r="C89" s="9" t="s">
        <v>32</v>
      </c>
      <c r="D89" s="10"/>
      <c r="E89" s="11"/>
      <c r="F89" s="12"/>
      <c r="G89" s="11"/>
      <c r="H89" s="12"/>
      <c r="I89" s="13"/>
      <c r="J89" s="14"/>
      <c r="K89" s="15"/>
      <c r="L89" s="16"/>
    </row>
    <row r="90" spans="1:12" s="56" customFormat="1" x14ac:dyDescent="0.3">
      <c r="A90" s="17"/>
      <c r="B90" s="18"/>
      <c r="C90" s="19"/>
      <c r="D90" s="20">
        <v>3</v>
      </c>
      <c r="E90" s="20">
        <v>11.25</v>
      </c>
      <c r="F90" s="21">
        <v>0.75</v>
      </c>
      <c r="G90" s="20">
        <v>0.25</v>
      </c>
      <c r="H90" s="22">
        <f>D90*IF(OR(E90=0,E90="-"),1,E90)*IF(OR(F90=0,F90="-"),1,F90)*IF(OR(G90=0,G90="-"),1,G90)</f>
        <v>6.328125</v>
      </c>
      <c r="I90" s="23" t="s">
        <v>24</v>
      </c>
      <c r="J90" s="24"/>
      <c r="K90" s="25"/>
      <c r="L90" s="26"/>
    </row>
    <row r="91" spans="1:12" s="56" customFormat="1" x14ac:dyDescent="0.3">
      <c r="A91" s="17"/>
      <c r="B91" s="18"/>
      <c r="C91" s="19"/>
      <c r="D91" s="20">
        <v>4</v>
      </c>
      <c r="E91" s="20">
        <v>4</v>
      </c>
      <c r="F91" s="21">
        <v>0.75</v>
      </c>
      <c r="G91" s="20">
        <v>0.25</v>
      </c>
      <c r="H91" s="22">
        <f>D91*IF(OR(E91=0,E91="-"),1,E91)*IF(OR(F91=0,F91="-"),1,F91)*IF(OR(G91=0,G91="-"),1,G91)</f>
        <v>3</v>
      </c>
      <c r="I91" s="23" t="s">
        <v>24</v>
      </c>
      <c r="J91" s="24"/>
      <c r="K91" s="25"/>
      <c r="L91" s="26"/>
    </row>
    <row r="92" spans="1:12" s="56" customFormat="1" x14ac:dyDescent="0.3">
      <c r="A92" s="17"/>
      <c r="B92" s="18"/>
      <c r="C92" s="19"/>
      <c r="D92" s="20">
        <v>2</v>
      </c>
      <c r="E92" s="20">
        <v>3</v>
      </c>
      <c r="F92" s="21">
        <v>0.75</v>
      </c>
      <c r="G92" s="20">
        <v>0.25</v>
      </c>
      <c r="H92" s="22">
        <f>D92*IF(OR(E92=0,E92="-"),1,E92)*IF(OR(F92=0,F92="-"),1,F92)*IF(OR(G92=0,G92="-"),1,G92)</f>
        <v>1.125</v>
      </c>
      <c r="I92" s="23" t="s">
        <v>24</v>
      </c>
      <c r="J92" s="24"/>
      <c r="K92" s="25"/>
      <c r="L92" s="26"/>
    </row>
    <row r="93" spans="1:12" x14ac:dyDescent="0.3">
      <c r="A93" s="27"/>
      <c r="B93" s="28"/>
      <c r="C93" s="29"/>
      <c r="D93" s="30"/>
      <c r="E93" s="30"/>
      <c r="F93" s="250" t="s">
        <v>26</v>
      </c>
      <c r="G93" s="250"/>
      <c r="H93" s="31">
        <f>SUM(H90:H92)</f>
        <v>10.453125</v>
      </c>
      <c r="I93" s="32" t="s">
        <v>24</v>
      </c>
      <c r="J93" s="33"/>
      <c r="K93" s="34" t="str">
        <f>""</f>
        <v/>
      </c>
      <c r="L93" s="35"/>
    </row>
    <row r="94" spans="1:12" ht="46.8" x14ac:dyDescent="0.3">
      <c r="A94" s="36"/>
      <c r="B94" s="37"/>
      <c r="C94" s="38"/>
      <c r="D94" s="39"/>
      <c r="E94" s="249" t="s">
        <v>27</v>
      </c>
      <c r="F94" s="249"/>
      <c r="G94" s="249"/>
      <c r="H94" s="40">
        <f>ROUND(H93*0.0283,3)</f>
        <v>0.29599999999999999</v>
      </c>
      <c r="I94" s="41" t="s">
        <v>28</v>
      </c>
      <c r="J94" s="42" t="s">
        <v>34</v>
      </c>
      <c r="K94" s="43">
        <f>IF(B89="7.21.2",_xlfn.IFS(J94="Labour rates Amnd",823,J94="Material rates Amnd",3144,J94="Through rates Amnd",3968,J94="Labour Rate",387,J94="Material Rate",3144,J94="Through Rate",3531,TRUE,""),"")</f>
        <v>3968</v>
      </c>
      <c r="L94" s="44">
        <f>IF(H94*K94&lt;&gt;0,H94*K94,0)</f>
        <v>1174.528</v>
      </c>
    </row>
    <row r="95" spans="1:12" ht="14.1" customHeight="1" x14ac:dyDescent="0.3">
      <c r="A95" s="45"/>
      <c r="B95" s="46"/>
      <c r="C95" s="47"/>
      <c r="D95" s="48"/>
      <c r="E95" s="48"/>
      <c r="F95" s="49"/>
      <c r="G95" s="48"/>
      <c r="H95" s="49"/>
      <c r="I95" s="50"/>
      <c r="J95" s="51"/>
      <c r="K95" s="52"/>
      <c r="L95" s="53"/>
    </row>
    <row r="96" spans="1:12" ht="53.4" x14ac:dyDescent="0.3">
      <c r="A96" s="7">
        <f>IFERROR(LOOKUP(2,1/(ISNUMBER($A$4:$A$95)),$A$4:$A$95),0)+1</f>
        <v>9</v>
      </c>
      <c r="B96" s="8" t="s">
        <v>57</v>
      </c>
      <c r="C96" s="9" t="s">
        <v>58</v>
      </c>
      <c r="D96" s="10"/>
      <c r="E96" s="11"/>
      <c r="F96" s="12"/>
      <c r="G96" s="11"/>
      <c r="H96" s="12"/>
      <c r="I96" s="13"/>
      <c r="J96" s="14"/>
      <c r="K96" s="15"/>
      <c r="L96" s="16"/>
    </row>
    <row r="97" spans="1:12" s="56" customFormat="1" x14ac:dyDescent="0.3">
      <c r="A97" s="17"/>
      <c r="B97" s="18"/>
      <c r="C97" s="19"/>
      <c r="D97" s="20">
        <v>3</v>
      </c>
      <c r="E97" s="20">
        <v>11.25</v>
      </c>
      <c r="F97" s="21">
        <v>0.75</v>
      </c>
      <c r="G97" s="20"/>
      <c r="H97" s="22">
        <f>D97*IF(OR(E97=0,E97="-"),1,E97)*IF(OR(F97=0,F97="-"),1,F97)*IF(OR(G97=0,G97="-"),1,G97)</f>
        <v>25.3125</v>
      </c>
      <c r="I97" s="23" t="s">
        <v>15</v>
      </c>
      <c r="J97" s="24"/>
      <c r="K97" s="25"/>
      <c r="L97" s="26"/>
    </row>
    <row r="98" spans="1:12" s="56" customFormat="1" x14ac:dyDescent="0.3">
      <c r="A98" s="17"/>
      <c r="B98" s="18"/>
      <c r="C98" s="19"/>
      <c r="D98" s="20">
        <v>4</v>
      </c>
      <c r="E98" s="20">
        <v>4</v>
      </c>
      <c r="F98" s="21">
        <v>0.75</v>
      </c>
      <c r="G98" s="20"/>
      <c r="H98" s="22">
        <f>D98*IF(OR(E98=0,E98="-"),1,E98)*IF(OR(F98=0,F98="-"),1,F98)*IF(OR(G98=0,G98="-"),1,G98)</f>
        <v>12</v>
      </c>
      <c r="I98" s="23" t="s">
        <v>15</v>
      </c>
      <c r="J98" s="24"/>
      <c r="K98" s="25"/>
      <c r="L98" s="26"/>
    </row>
    <row r="99" spans="1:12" s="56" customFormat="1" x14ac:dyDescent="0.3">
      <c r="A99" s="17"/>
      <c r="B99" s="18"/>
      <c r="C99" s="19"/>
      <c r="D99" s="20">
        <v>2</v>
      </c>
      <c r="E99" s="20">
        <v>3</v>
      </c>
      <c r="F99" s="21">
        <v>0.75</v>
      </c>
      <c r="G99" s="20"/>
      <c r="H99" s="22">
        <f>D99*IF(OR(E99=0,E99="-"),1,E99)*IF(OR(F99=0,F99="-"),1,F99)*IF(OR(G99=0,G99="-"),1,G99)</f>
        <v>4.5</v>
      </c>
      <c r="I99" s="23" t="s">
        <v>15</v>
      </c>
      <c r="J99" s="24"/>
      <c r="K99" s="25"/>
      <c r="L99" s="26"/>
    </row>
    <row r="100" spans="1:12" s="56" customFormat="1" x14ac:dyDescent="0.3">
      <c r="A100" s="17"/>
      <c r="B100" s="18"/>
      <c r="C100" s="19" t="s">
        <v>59</v>
      </c>
      <c r="D100" s="20">
        <v>-3</v>
      </c>
      <c r="E100" s="20">
        <v>2.5</v>
      </c>
      <c r="F100" s="21">
        <v>0.75</v>
      </c>
      <c r="G100" s="20"/>
      <c r="H100" s="22">
        <f>D100*IF(OR(E100=0,E100="-"),1,E100)*IF(OR(F100=0,F100="-"),1,F100)*IF(OR(G100=0,G100="-"),1,G100)</f>
        <v>-5.625</v>
      </c>
      <c r="I100" s="23" t="s">
        <v>15</v>
      </c>
      <c r="J100" s="24"/>
      <c r="K100" s="25"/>
      <c r="L100" s="26"/>
    </row>
    <row r="101" spans="1:12" x14ac:dyDescent="0.3">
      <c r="A101" s="27"/>
      <c r="B101" s="28"/>
      <c r="C101" s="29"/>
      <c r="D101" s="30"/>
      <c r="E101" s="30"/>
      <c r="F101" s="255" t="s">
        <v>16</v>
      </c>
      <c r="G101" s="255"/>
      <c r="H101" s="31">
        <f>SUM(H97:H100)</f>
        <v>36.1875</v>
      </c>
      <c r="I101" s="32" t="s">
        <v>15</v>
      </c>
      <c r="J101" s="33"/>
      <c r="K101" s="34" t="str">
        <f>""</f>
        <v/>
      </c>
      <c r="L101" s="35"/>
    </row>
    <row r="102" spans="1:12" ht="31.2" x14ac:dyDescent="0.3">
      <c r="A102" s="36"/>
      <c r="B102" s="37"/>
      <c r="C102" s="38"/>
      <c r="D102" s="39"/>
      <c r="E102" s="249" t="s">
        <v>17</v>
      </c>
      <c r="F102" s="249"/>
      <c r="G102" s="249"/>
      <c r="H102" s="40">
        <f>ROUND(H101*0.0929,3)</f>
        <v>3.3620000000000001</v>
      </c>
      <c r="I102" s="41" t="s">
        <v>18</v>
      </c>
      <c r="J102" s="42" t="s">
        <v>19</v>
      </c>
      <c r="K102" s="43">
        <f>IF(B96="6.8.2",_xlfn.IFS(J102="Labour Rate",21,J102="Material Rate",113,J102="Through Rate",133,TRUE,""),"")</f>
        <v>133</v>
      </c>
      <c r="L102" s="44">
        <f>IF(H102*K102&lt;&gt;0,H102*K102,0)</f>
        <v>447.14600000000002</v>
      </c>
    </row>
    <row r="103" spans="1:12" ht="14.1" customHeight="1" x14ac:dyDescent="0.3">
      <c r="A103" s="45"/>
      <c r="B103" s="46"/>
      <c r="C103" s="47"/>
      <c r="D103" s="48"/>
      <c r="E103" s="48"/>
      <c r="F103" s="49"/>
      <c r="G103" s="48"/>
      <c r="H103" s="49"/>
      <c r="I103" s="50"/>
      <c r="J103" s="51"/>
      <c r="K103" s="52"/>
      <c r="L103" s="53"/>
    </row>
    <row r="104" spans="1:12" s="56" customFormat="1" ht="53.4" x14ac:dyDescent="0.3">
      <c r="A104" s="7">
        <f>IFERROR(LOOKUP(2,1/(ISNUMBER($A$4:$A$103)),$A$4:$A$103),0)+1</f>
        <v>10</v>
      </c>
      <c r="B104" s="8" t="s">
        <v>60</v>
      </c>
      <c r="C104" s="9" t="s">
        <v>61</v>
      </c>
      <c r="D104" s="10"/>
      <c r="E104" s="11"/>
      <c r="F104" s="12"/>
      <c r="G104" s="11"/>
      <c r="H104" s="12"/>
      <c r="I104" s="13"/>
      <c r="J104" s="14"/>
      <c r="K104" s="15"/>
      <c r="L104" s="16"/>
    </row>
    <row r="105" spans="1:12" s="56" customFormat="1" x14ac:dyDescent="0.3">
      <c r="A105" s="17"/>
      <c r="B105" s="18"/>
      <c r="C105" s="19"/>
      <c r="D105" s="20">
        <v>2</v>
      </c>
      <c r="E105" s="20">
        <v>11.25</v>
      </c>
      <c r="F105" s="21">
        <v>0.75</v>
      </c>
      <c r="G105" s="20">
        <v>9</v>
      </c>
      <c r="H105" s="22">
        <f t="shared" ref="H105:H110" si="1">D105*IF(OR(E105=0,E105="-"),1,E105)*IF(OR(F105=0,F105="-"),1,F105)*IF(OR(G105=0,G105="-"),1,G105)</f>
        <v>151.875</v>
      </c>
      <c r="I105" s="23" t="s">
        <v>24</v>
      </c>
      <c r="J105" s="24"/>
      <c r="K105" s="25"/>
      <c r="L105" s="26"/>
    </row>
    <row r="106" spans="1:12" s="56" customFormat="1" x14ac:dyDescent="0.3">
      <c r="A106" s="17"/>
      <c r="B106" s="18"/>
      <c r="C106" s="19"/>
      <c r="D106" s="20">
        <v>2</v>
      </c>
      <c r="E106" s="20">
        <v>4</v>
      </c>
      <c r="F106" s="21">
        <v>0.75</v>
      </c>
      <c r="G106" s="20">
        <v>9</v>
      </c>
      <c r="H106" s="22">
        <f t="shared" si="1"/>
        <v>54</v>
      </c>
      <c r="I106" s="23" t="s">
        <v>24</v>
      </c>
      <c r="J106" s="24"/>
      <c r="K106" s="25"/>
      <c r="L106" s="26"/>
    </row>
    <row r="107" spans="1:12" s="56" customFormat="1" x14ac:dyDescent="0.3">
      <c r="A107" s="17"/>
      <c r="B107" s="18"/>
      <c r="C107" s="19"/>
      <c r="D107" s="20">
        <v>1</v>
      </c>
      <c r="E107" s="20">
        <v>11.25</v>
      </c>
      <c r="F107" s="21">
        <v>0.75</v>
      </c>
      <c r="G107" s="20">
        <v>6</v>
      </c>
      <c r="H107" s="22">
        <f t="shared" si="1"/>
        <v>50.625</v>
      </c>
      <c r="I107" s="23" t="s">
        <v>24</v>
      </c>
      <c r="J107" s="24"/>
      <c r="K107" s="25"/>
      <c r="L107" s="26"/>
    </row>
    <row r="108" spans="1:12" s="56" customFormat="1" x14ac:dyDescent="0.3">
      <c r="A108" s="17"/>
      <c r="B108" s="18"/>
      <c r="C108" s="19"/>
      <c r="D108" s="20">
        <v>1</v>
      </c>
      <c r="E108" s="20">
        <v>3</v>
      </c>
      <c r="F108" s="21">
        <v>0.75</v>
      </c>
      <c r="G108" s="20">
        <v>9</v>
      </c>
      <c r="H108" s="22">
        <f t="shared" si="1"/>
        <v>20.25</v>
      </c>
      <c r="I108" s="23" t="s">
        <v>24</v>
      </c>
      <c r="J108" s="24"/>
      <c r="K108" s="25"/>
      <c r="L108" s="26"/>
    </row>
    <row r="109" spans="1:12" s="56" customFormat="1" x14ac:dyDescent="0.3">
      <c r="A109" s="17"/>
      <c r="B109" s="18"/>
      <c r="C109" s="19" t="s">
        <v>62</v>
      </c>
      <c r="D109" s="20">
        <v>-3</v>
      </c>
      <c r="E109" s="20">
        <v>2.5</v>
      </c>
      <c r="F109" s="21">
        <v>0.75</v>
      </c>
      <c r="G109" s="20">
        <v>7</v>
      </c>
      <c r="H109" s="22">
        <f t="shared" si="1"/>
        <v>-39.375</v>
      </c>
      <c r="I109" s="23" t="s">
        <v>24</v>
      </c>
      <c r="J109" s="24"/>
      <c r="K109" s="25"/>
      <c r="L109" s="26"/>
    </row>
    <row r="110" spans="1:12" x14ac:dyDescent="0.3">
      <c r="A110" s="17"/>
      <c r="B110" s="18"/>
      <c r="C110" s="19" t="s">
        <v>63</v>
      </c>
      <c r="D110" s="20">
        <v>-3</v>
      </c>
      <c r="E110" s="20">
        <v>1.5</v>
      </c>
      <c r="F110" s="21">
        <v>0.75</v>
      </c>
      <c r="G110" s="20">
        <v>1.5</v>
      </c>
      <c r="H110" s="22">
        <f t="shared" si="1"/>
        <v>-5.0625</v>
      </c>
      <c r="I110" s="23" t="s">
        <v>24</v>
      </c>
      <c r="J110" s="24"/>
      <c r="K110" s="25"/>
      <c r="L110" s="26"/>
    </row>
    <row r="111" spans="1:12" x14ac:dyDescent="0.3">
      <c r="A111" s="27"/>
      <c r="B111" s="28"/>
      <c r="C111" s="29"/>
      <c r="D111" s="30"/>
      <c r="E111" s="30"/>
      <c r="F111" s="255" t="s">
        <v>26</v>
      </c>
      <c r="G111" s="255"/>
      <c r="H111" s="31">
        <f>SUM(H105:H110)</f>
        <v>232.3125</v>
      </c>
      <c r="I111" s="32" t="s">
        <v>24</v>
      </c>
      <c r="J111" s="33"/>
      <c r="K111" s="34" t="str">
        <f>""</f>
        <v/>
      </c>
      <c r="L111" s="35"/>
    </row>
    <row r="112" spans="1:12" ht="46.8" x14ac:dyDescent="0.3">
      <c r="A112" s="36"/>
      <c r="B112" s="37"/>
      <c r="C112" s="38"/>
      <c r="D112" s="39"/>
      <c r="E112" s="259" t="s">
        <v>27</v>
      </c>
      <c r="F112" s="259"/>
      <c r="G112" s="259"/>
      <c r="H112" s="40">
        <f>ROUND(H111*0.0283,3)</f>
        <v>6.5739999999999998</v>
      </c>
      <c r="I112" s="41" t="s">
        <v>28</v>
      </c>
      <c r="J112" s="42" t="s">
        <v>34</v>
      </c>
      <c r="K112" s="43">
        <f>IF(B104="7.22.2",_xlfn.IFS(J112="Labour rates Amnd",1099,J112="Material rates Amnd",3389,J112="Through rates Amnd",4488,J112="Labour Rate",572,J112="Material Rate",3389,J112="Through Rate",3961,TRUE,""),"")</f>
        <v>4488</v>
      </c>
      <c r="L112" s="44">
        <f>IF(H112*K112&lt;&gt;0,H112*K112,0)</f>
        <v>29504.112000000001</v>
      </c>
    </row>
    <row r="113" spans="1:12" ht="14.1" customHeight="1" x14ac:dyDescent="0.3">
      <c r="A113" s="45"/>
      <c r="B113" s="46"/>
      <c r="C113" s="47"/>
      <c r="D113" s="48"/>
      <c r="E113" s="48"/>
      <c r="F113" s="49"/>
      <c r="G113" s="48"/>
      <c r="H113" s="49"/>
      <c r="I113" s="50"/>
      <c r="J113" s="51"/>
      <c r="K113" s="52"/>
      <c r="L113" s="53"/>
    </row>
    <row r="114" spans="1:12" ht="53.4" x14ac:dyDescent="0.3">
      <c r="A114" s="7">
        <f>IFERROR(LOOKUP(2,1/(ISNUMBER($A$4:$A$113)),$A$4:$A$113),0)+1</f>
        <v>11</v>
      </c>
      <c r="B114" s="8" t="s">
        <v>64</v>
      </c>
      <c r="C114" s="9" t="s">
        <v>65</v>
      </c>
      <c r="D114" s="10"/>
      <c r="E114" s="11"/>
      <c r="F114" s="12"/>
      <c r="G114" s="11"/>
      <c r="H114" s="108"/>
      <c r="I114" s="13"/>
      <c r="J114" s="109"/>
      <c r="K114" s="15"/>
      <c r="L114" s="110"/>
    </row>
    <row r="115" spans="1:12" x14ac:dyDescent="0.3">
      <c r="A115" s="17"/>
      <c r="B115" s="18"/>
      <c r="C115" s="19" t="s">
        <v>66</v>
      </c>
      <c r="D115" s="20">
        <v>2</v>
      </c>
      <c r="E115" s="20">
        <v>4</v>
      </c>
      <c r="F115" s="21"/>
      <c r="G115" s="20">
        <v>9</v>
      </c>
      <c r="H115" s="111">
        <f>D115*IF(OR(E115=0,E115="-"),1,E115)*IF(OR(F115=0,F115="-"),1,F115)*IF(OR(G115=0,G115="-"),1,G115)</f>
        <v>72</v>
      </c>
      <c r="I115" s="23" t="s">
        <v>15</v>
      </c>
      <c r="J115" s="112"/>
      <c r="K115" s="25"/>
      <c r="L115" s="113"/>
    </row>
    <row r="116" spans="1:12" x14ac:dyDescent="0.3">
      <c r="A116" s="27"/>
      <c r="B116" s="28"/>
      <c r="C116" s="29"/>
      <c r="D116" s="30"/>
      <c r="E116" s="30"/>
      <c r="F116" s="250" t="s">
        <v>16</v>
      </c>
      <c r="G116" s="250"/>
      <c r="H116" s="31">
        <f>SUM(H115:H115)</f>
        <v>72</v>
      </c>
      <c r="I116" s="32" t="s">
        <v>15</v>
      </c>
      <c r="J116" s="33"/>
      <c r="K116" s="34" t="str">
        <f>""</f>
        <v/>
      </c>
      <c r="L116" s="114"/>
    </row>
    <row r="117" spans="1:12" ht="31.2" x14ac:dyDescent="0.3">
      <c r="A117" s="36"/>
      <c r="B117" s="37"/>
      <c r="C117" s="38"/>
      <c r="D117" s="39"/>
      <c r="E117" s="249" t="s">
        <v>17</v>
      </c>
      <c r="F117" s="249"/>
      <c r="G117" s="249"/>
      <c r="H117" s="40">
        <f>ROUND(H116*0.0929,3)</f>
        <v>6.6890000000000001</v>
      </c>
      <c r="I117" s="41" t="s">
        <v>18</v>
      </c>
      <c r="J117" s="42" t="s">
        <v>19</v>
      </c>
      <c r="K117" s="43">
        <f>IF(B114="7.28.2",_xlfn.IFS(J117="Labour Rate",109,J117="Material Rate",378,J117="Through Rate",488,TRUE,""),"")</f>
        <v>488</v>
      </c>
      <c r="L117" s="44">
        <f>IF(H117*K117&lt;&gt;0,H117*K117,0)</f>
        <v>3264.232</v>
      </c>
    </row>
    <row r="118" spans="1:12" ht="14.1" customHeight="1" x14ac:dyDescent="0.3">
      <c r="A118" s="45"/>
      <c r="B118" s="46"/>
      <c r="C118" s="47"/>
      <c r="D118" s="48"/>
      <c r="E118" s="48"/>
      <c r="F118" s="49"/>
      <c r="G118" s="48"/>
      <c r="H118" s="49"/>
      <c r="I118" s="50"/>
      <c r="J118" s="51"/>
      <c r="K118" s="52"/>
      <c r="L118" s="53"/>
    </row>
    <row r="119" spans="1:12" ht="148.80000000000001" x14ac:dyDescent="0.3">
      <c r="A119" s="7">
        <f>IFERROR(LOOKUP(2,1/(ISNUMBER($A$4:$A$118)),$A$4:$A$118),0)+1</f>
        <v>12</v>
      </c>
      <c r="B119" s="8" t="s">
        <v>67</v>
      </c>
      <c r="C119" s="9" t="s">
        <v>68</v>
      </c>
      <c r="D119" s="10"/>
      <c r="E119" s="11"/>
      <c r="F119" s="12"/>
      <c r="G119" s="11"/>
      <c r="H119" s="12"/>
      <c r="I119" s="13"/>
      <c r="J119" s="14"/>
      <c r="K119" s="15"/>
      <c r="L119" s="16"/>
    </row>
    <row r="120" spans="1:12" x14ac:dyDescent="0.3">
      <c r="A120" s="17"/>
      <c r="B120" s="18"/>
      <c r="C120" s="107" t="s">
        <v>62</v>
      </c>
      <c r="D120" s="20">
        <v>6</v>
      </c>
      <c r="E120" s="20"/>
      <c r="F120" s="21">
        <v>7</v>
      </c>
      <c r="G120" s="20"/>
      <c r="H120" s="22">
        <f>D120*IF(OR(E120=0,E120="-"),1,E120)*IF(OR(F120=0,F120="-"),1,F120)*IF(OR(G120=0,G120="-"),1,G120)</f>
        <v>42</v>
      </c>
      <c r="I120" s="23" t="s">
        <v>39</v>
      </c>
      <c r="J120" s="24"/>
      <c r="K120" s="25"/>
      <c r="L120" s="26"/>
    </row>
    <row r="121" spans="1:12" x14ac:dyDescent="0.3">
      <c r="A121" s="17"/>
      <c r="B121" s="18"/>
      <c r="C121" s="107"/>
      <c r="D121" s="20">
        <v>3</v>
      </c>
      <c r="E121" s="20"/>
      <c r="F121" s="21">
        <v>2.5</v>
      </c>
      <c r="G121" s="20"/>
      <c r="H121" s="22">
        <f>D121*IF(OR(E121=0,E121="-"),1,E121)*IF(OR(F121=0,F121="-"),1,F121)*IF(OR(G121=0,G121="-"),1,G121)</f>
        <v>7.5</v>
      </c>
      <c r="I121" s="23" t="s">
        <v>39</v>
      </c>
      <c r="J121" s="24"/>
      <c r="K121" s="25"/>
      <c r="L121" s="26"/>
    </row>
    <row r="122" spans="1:12" s="56" customFormat="1" x14ac:dyDescent="0.3">
      <c r="A122" s="17"/>
      <c r="B122" s="18"/>
      <c r="C122" s="107" t="s">
        <v>69</v>
      </c>
      <c r="D122" s="20">
        <v>12</v>
      </c>
      <c r="E122" s="20"/>
      <c r="F122" s="21">
        <v>1.5</v>
      </c>
      <c r="G122" s="20"/>
      <c r="H122" s="22">
        <f>D122*IF(OR(E122=0,E122="-"),1,E122)*IF(OR(F122=0,F122="-"),1,F122)*IF(OR(G122=0,G122="-"),1,G122)</f>
        <v>18</v>
      </c>
      <c r="I122" s="23" t="s">
        <v>39</v>
      </c>
      <c r="J122" s="24"/>
      <c r="K122" s="25"/>
      <c r="L122" s="26"/>
    </row>
    <row r="123" spans="1:12" x14ac:dyDescent="0.3">
      <c r="A123" s="27"/>
      <c r="B123" s="28"/>
      <c r="C123" s="29"/>
      <c r="D123" s="30"/>
      <c r="E123" s="30"/>
      <c r="F123" s="250" t="s">
        <v>41</v>
      </c>
      <c r="G123" s="250"/>
      <c r="H123" s="31">
        <f>SUM(H120:H122)</f>
        <v>67.5</v>
      </c>
      <c r="I123" s="32" t="s">
        <v>39</v>
      </c>
      <c r="J123" s="33"/>
      <c r="K123" s="34" t="str">
        <f>""</f>
        <v/>
      </c>
      <c r="L123" s="35"/>
    </row>
    <row r="124" spans="1:12" ht="31.2" x14ac:dyDescent="0.3">
      <c r="A124" s="36"/>
      <c r="B124" s="37"/>
      <c r="C124" s="38"/>
      <c r="D124" s="39"/>
      <c r="E124" s="249" t="s">
        <v>42</v>
      </c>
      <c r="F124" s="249"/>
      <c r="G124" s="249"/>
      <c r="H124" s="40">
        <f>ROUND(H123*0.3048,3)</f>
        <v>20.574000000000002</v>
      </c>
      <c r="I124" s="41" t="s">
        <v>70</v>
      </c>
      <c r="J124" s="42" t="s">
        <v>19</v>
      </c>
      <c r="K124" s="43">
        <f>IF(B119="13.3.3.1",_xlfn.IFS(J124="Labour Rate",30,J124="Material Rate",357,J124="Through Rate",388,TRUE,""),"")</f>
        <v>388</v>
      </c>
      <c r="L124" s="44">
        <f>IF(H124*K124&lt;&gt;0,H124*K124,0)</f>
        <v>7982.7120000000004</v>
      </c>
    </row>
    <row r="125" spans="1:12" ht="14.1" customHeight="1" x14ac:dyDescent="0.3">
      <c r="A125" s="45"/>
      <c r="B125" s="46"/>
      <c r="C125" s="47"/>
      <c r="D125" s="48"/>
      <c r="E125" s="48"/>
      <c r="F125" s="49"/>
      <c r="G125" s="48"/>
      <c r="H125" s="49"/>
      <c r="I125" s="50"/>
      <c r="J125" s="51"/>
      <c r="K125" s="52"/>
      <c r="L125" s="53"/>
    </row>
    <row r="126" spans="1:12" ht="81" x14ac:dyDescent="0.3">
      <c r="A126" s="7">
        <f>IFERROR(LOOKUP(2,1/(ISNUMBER($A$4:$A$125)),$A$4:$A$125),0)+1</f>
        <v>13</v>
      </c>
      <c r="B126" s="8" t="s">
        <v>71</v>
      </c>
      <c r="C126" s="9" t="s">
        <v>72</v>
      </c>
      <c r="D126" s="10"/>
      <c r="E126" s="11"/>
      <c r="F126" s="12"/>
      <c r="G126" s="11"/>
      <c r="H126" s="12"/>
      <c r="I126" s="13"/>
      <c r="J126" s="14"/>
      <c r="K126" s="15"/>
      <c r="L126" s="16"/>
    </row>
    <row r="127" spans="1:12" x14ac:dyDescent="0.3">
      <c r="A127" s="17"/>
      <c r="B127" s="18"/>
      <c r="C127" s="19" t="s">
        <v>62</v>
      </c>
      <c r="D127" s="20">
        <f>3*1.5</f>
        <v>4.5</v>
      </c>
      <c r="E127" s="20">
        <v>2.5</v>
      </c>
      <c r="F127" s="21"/>
      <c r="G127" s="20">
        <v>7</v>
      </c>
      <c r="H127" s="22">
        <f>D127*IF(OR(E127=0,E127="-"),1,E127)*IF(OR(F127=0,F127="-"),1,F127)*IF(OR(G127=0,G127="-"),1,G127)</f>
        <v>78.75</v>
      </c>
      <c r="I127" s="23" t="s">
        <v>73</v>
      </c>
      <c r="J127" s="24"/>
      <c r="K127" s="25"/>
      <c r="L127" s="26"/>
    </row>
    <row r="128" spans="1:12" x14ac:dyDescent="0.3">
      <c r="A128" s="17"/>
      <c r="B128" s="18"/>
      <c r="C128" s="19" t="s">
        <v>63</v>
      </c>
      <c r="D128" s="20">
        <f>3*1.5</f>
        <v>4.5</v>
      </c>
      <c r="E128" s="20">
        <v>1.5</v>
      </c>
      <c r="F128" s="21"/>
      <c r="G128" s="20">
        <v>1.5</v>
      </c>
      <c r="H128" s="22">
        <f>D128*IF(OR(E128=0,E128="-"),1,E128)*IF(OR(F128=0,F128="-"),1,F128)*IF(OR(G128=0,G128="-"),1,G128)</f>
        <v>10.125</v>
      </c>
      <c r="I128" s="23" t="s">
        <v>73</v>
      </c>
      <c r="J128" s="24"/>
      <c r="K128" s="25"/>
      <c r="L128" s="26"/>
    </row>
    <row r="129" spans="1:12" x14ac:dyDescent="0.3">
      <c r="A129" s="27"/>
      <c r="B129" s="28"/>
      <c r="C129" s="29"/>
      <c r="D129" s="30"/>
      <c r="E129" s="30"/>
      <c r="F129" s="250" t="s">
        <v>74</v>
      </c>
      <c r="G129" s="250"/>
      <c r="H129" s="115">
        <f>SUM(H127:H128)</f>
        <v>88.875</v>
      </c>
      <c r="I129" s="32" t="s">
        <v>73</v>
      </c>
      <c r="J129" s="33"/>
      <c r="K129" s="34" t="str">
        <f>""</f>
        <v/>
      </c>
      <c r="L129" s="35"/>
    </row>
    <row r="130" spans="1:12" ht="14.1" customHeight="1" x14ac:dyDescent="0.3">
      <c r="A130" s="36"/>
      <c r="B130" s="37"/>
      <c r="C130" s="38"/>
      <c r="D130" s="39"/>
      <c r="E130" s="249" t="s">
        <v>74</v>
      </c>
      <c r="F130" s="249"/>
      <c r="G130" s="249"/>
      <c r="H130" s="40">
        <f>ROUND(H129*1,3)</f>
        <v>88.875</v>
      </c>
      <c r="I130" s="41" t="s">
        <v>45</v>
      </c>
      <c r="J130" s="42" t="s">
        <v>19</v>
      </c>
      <c r="K130" s="43">
        <f>IF(B126="12.50.1",_xlfn.IFS(J130="Labour Rate",28,J130="Material Rate",64,J130="Through Rate",91,TRUE,""),"")</f>
        <v>91</v>
      </c>
      <c r="L130" s="44">
        <f>IF(H130*K130&lt;&gt;0,H130*K130,0)</f>
        <v>8087.625</v>
      </c>
    </row>
    <row r="131" spans="1:12" ht="14.1" customHeight="1" x14ac:dyDescent="0.3">
      <c r="A131" s="45"/>
      <c r="B131" s="46"/>
      <c r="C131" s="47"/>
      <c r="D131" s="48"/>
      <c r="E131" s="48"/>
      <c r="F131" s="49"/>
      <c r="G131" s="48"/>
      <c r="H131" s="49"/>
      <c r="I131" s="50"/>
      <c r="J131" s="51"/>
      <c r="K131" s="52"/>
      <c r="L131" s="53"/>
    </row>
    <row r="132" spans="1:12" ht="55.2" x14ac:dyDescent="0.3">
      <c r="A132" s="7">
        <f>IFERROR(LOOKUP(2,1/(ISNUMBER($A$4:$A$131)),$A$4:$A$131),0)+1</f>
        <v>14</v>
      </c>
      <c r="B132" s="54" t="s">
        <v>75</v>
      </c>
      <c r="C132" s="116" t="s">
        <v>76</v>
      </c>
      <c r="D132" s="10"/>
      <c r="E132" s="11"/>
      <c r="F132" s="12"/>
      <c r="G132" s="11"/>
      <c r="H132" s="12"/>
      <c r="I132" s="13"/>
      <c r="J132" s="14"/>
      <c r="K132" s="15"/>
      <c r="L132" s="16"/>
    </row>
    <row r="133" spans="1:12" x14ac:dyDescent="0.3">
      <c r="A133" s="17"/>
      <c r="B133" s="18"/>
      <c r="C133" s="19"/>
      <c r="D133" s="20">
        <v>3</v>
      </c>
      <c r="E133" s="20">
        <v>4</v>
      </c>
      <c r="F133" s="21">
        <v>3</v>
      </c>
      <c r="G133" s="20">
        <v>2.25</v>
      </c>
      <c r="H133" s="22">
        <f>D133*IF(OR(E133=0,E133="-"),1,E133)*IF(OR(F133=0,F133="-"),1,F133)*IF(OR(G133=0,G133="-"),1,G133)</f>
        <v>81</v>
      </c>
      <c r="I133" s="23" t="s">
        <v>28</v>
      </c>
      <c r="J133" s="24"/>
      <c r="K133" s="25"/>
      <c r="L133" s="26"/>
    </row>
    <row r="134" spans="1:12" x14ac:dyDescent="0.3">
      <c r="A134" s="17"/>
      <c r="B134" s="18"/>
      <c r="C134" s="19"/>
      <c r="D134" s="20">
        <v>1</v>
      </c>
      <c r="E134" s="20">
        <f>11.25-1.5</f>
        <v>9.75</v>
      </c>
      <c r="F134" s="21">
        <v>3</v>
      </c>
      <c r="G134" s="20">
        <v>2.25</v>
      </c>
      <c r="H134" s="22">
        <f>D134*IF(OR(E134=0,E134="-"),1,E134)*IF(OR(F134=0,F134="-"),1,F134)*IF(OR(G134=0,G134="-"),1,G134)</f>
        <v>65.8125</v>
      </c>
      <c r="I134" s="23" t="s">
        <v>28</v>
      </c>
      <c r="J134" s="24"/>
      <c r="K134" s="25"/>
      <c r="L134" s="26"/>
    </row>
    <row r="135" spans="1:12" x14ac:dyDescent="0.3">
      <c r="A135" s="17"/>
      <c r="B135" s="18"/>
      <c r="C135" s="19" t="s">
        <v>77</v>
      </c>
      <c r="D135" s="20">
        <v>-0.33333333333333331</v>
      </c>
      <c r="E135" s="20">
        <f>H16</f>
        <v>20.068000000000001</v>
      </c>
      <c r="F135" s="21">
        <v>1</v>
      </c>
      <c r="G135" s="20">
        <v>1</v>
      </c>
      <c r="H135" s="22">
        <f>D135*IF(OR(E135=0,E135="-"),1,E135)*IF(OR(F135=0,F135="-"),1,F135)*IF(OR(G135=0,G135="-"),1,G135)</f>
        <v>-6.6893333333333338</v>
      </c>
      <c r="I135" s="23" t="s">
        <v>28</v>
      </c>
      <c r="J135" s="24"/>
      <c r="K135" s="25"/>
      <c r="L135" s="26"/>
    </row>
    <row r="136" spans="1:12" x14ac:dyDescent="0.3">
      <c r="A136" s="27"/>
      <c r="B136" s="28"/>
      <c r="C136" s="29"/>
      <c r="D136" s="30"/>
      <c r="E136" s="30"/>
      <c r="F136" s="255" t="s">
        <v>27</v>
      </c>
      <c r="G136" s="255"/>
      <c r="H136" s="31">
        <f>SUM(H133:H135)</f>
        <v>140.12316666666666</v>
      </c>
      <c r="I136" s="32" t="s">
        <v>28</v>
      </c>
      <c r="J136" s="33"/>
      <c r="K136" s="34" t="str">
        <f>""</f>
        <v/>
      </c>
      <c r="L136" s="35"/>
    </row>
    <row r="137" spans="1:12" ht="31.2" x14ac:dyDescent="0.3">
      <c r="A137" s="36"/>
      <c r="B137" s="37"/>
      <c r="C137" s="38"/>
      <c r="D137" s="39"/>
      <c r="E137" s="249" t="s">
        <v>27</v>
      </c>
      <c r="F137" s="249"/>
      <c r="G137" s="249"/>
      <c r="H137" s="40">
        <f>ROUND(H136*1,3)</f>
        <v>140.12299999999999</v>
      </c>
      <c r="I137" s="41" t="s">
        <v>28</v>
      </c>
      <c r="J137" s="42" t="s">
        <v>19</v>
      </c>
      <c r="K137" s="43">
        <f>IF(B132="10.2",_xlfn.IFS(J137="Labour Rate",73,J137="Material Rate",753,J137="Through Rate",826,TRUE,""),"")</f>
        <v>826</v>
      </c>
      <c r="L137" s="44">
        <f>IF(H137*K137&lt;&gt;0,H137*K137,0)</f>
        <v>115741.598</v>
      </c>
    </row>
    <row r="138" spans="1:12" ht="14.1" customHeight="1" x14ac:dyDescent="0.3">
      <c r="A138" s="45"/>
      <c r="B138" s="46"/>
      <c r="C138" s="47"/>
      <c r="D138" s="48"/>
      <c r="E138" s="48"/>
      <c r="F138" s="49"/>
      <c r="G138" s="48"/>
      <c r="H138" s="49"/>
      <c r="I138" s="50"/>
      <c r="J138" s="51"/>
      <c r="K138" s="52"/>
      <c r="L138" s="53"/>
    </row>
    <row r="139" spans="1:12" ht="150" x14ac:dyDescent="0.3">
      <c r="A139" s="7">
        <f>IFERROR(LOOKUP(2,1/(ISNUMBER($A$4:$A$138)),$A$4:$A$138),0)+1</f>
        <v>15</v>
      </c>
      <c r="B139" s="8" t="s">
        <v>35</v>
      </c>
      <c r="C139" s="9" t="s">
        <v>36</v>
      </c>
      <c r="D139" s="10"/>
      <c r="E139" s="11"/>
      <c r="F139" s="12"/>
      <c r="G139" s="11"/>
      <c r="H139" s="12"/>
      <c r="I139" s="13"/>
      <c r="J139" s="14"/>
      <c r="K139" s="15"/>
      <c r="L139" s="16"/>
    </row>
    <row r="140" spans="1:12" x14ac:dyDescent="0.3">
      <c r="A140" s="17"/>
      <c r="B140" s="18"/>
      <c r="C140" s="19" t="s">
        <v>78</v>
      </c>
      <c r="D140" s="20"/>
      <c r="E140" s="20"/>
      <c r="F140" s="21"/>
      <c r="G140" s="20"/>
      <c r="H140" s="57"/>
      <c r="I140" s="23"/>
      <c r="J140" s="24"/>
      <c r="K140" s="25"/>
      <c r="L140" s="26"/>
    </row>
    <row r="141" spans="1:12" ht="16.2" x14ac:dyDescent="0.3">
      <c r="A141" s="17"/>
      <c r="B141" s="18"/>
      <c r="C141" s="58" t="s">
        <v>38</v>
      </c>
      <c r="D141" s="20"/>
      <c r="E141" s="20"/>
      <c r="F141" s="21"/>
      <c r="G141" s="20"/>
      <c r="H141" s="57"/>
      <c r="I141" s="23"/>
      <c r="J141" s="24"/>
      <c r="K141" s="25"/>
      <c r="L141" s="26"/>
    </row>
    <row r="142" spans="1:12" x14ac:dyDescent="0.3">
      <c r="A142" s="17"/>
      <c r="B142" s="18"/>
      <c r="C142" s="19"/>
      <c r="D142" s="20">
        <v>1</v>
      </c>
      <c r="E142" s="20">
        <v>4</v>
      </c>
      <c r="F142" s="21">
        <v>11.25</v>
      </c>
      <c r="G142" s="20"/>
      <c r="H142" s="22">
        <f>D142*IF(OR(E142=0,E142="-"),1,E142)*IF(OR(F142=0,F142="-"),1,F142)*IF(OR(G142=0,G142="-"),1,G142)</f>
        <v>45</v>
      </c>
      <c r="I142" s="23" t="s">
        <v>39</v>
      </c>
      <c r="J142" s="24"/>
      <c r="K142" s="25"/>
      <c r="L142" s="26"/>
    </row>
    <row r="143" spans="1:12" s="56" customFormat="1" x14ac:dyDescent="0.3">
      <c r="A143" s="27"/>
      <c r="B143" s="28"/>
      <c r="C143" s="29"/>
      <c r="D143" s="30"/>
      <c r="E143" s="30"/>
      <c r="F143" s="250" t="s">
        <v>41</v>
      </c>
      <c r="G143" s="250"/>
      <c r="H143" s="31">
        <f>SUM(H142:H142)</f>
        <v>45</v>
      </c>
      <c r="I143" s="32" t="s">
        <v>39</v>
      </c>
      <c r="J143" s="33"/>
      <c r="K143" s="59"/>
      <c r="L143" s="35"/>
    </row>
    <row r="144" spans="1:12" s="56" customFormat="1" x14ac:dyDescent="0.3">
      <c r="A144" s="60"/>
      <c r="B144" s="37"/>
      <c r="C144" s="38"/>
      <c r="D144" s="39"/>
      <c r="E144" s="249" t="s">
        <v>42</v>
      </c>
      <c r="F144" s="249"/>
      <c r="G144" s="249"/>
      <c r="H144" s="40">
        <f>ROUND(H143*0.3048,3)</f>
        <v>13.715999999999999</v>
      </c>
      <c r="I144" s="61" t="s">
        <v>43</v>
      </c>
      <c r="J144" s="42"/>
      <c r="K144" s="62"/>
      <c r="L144" s="63"/>
    </row>
    <row r="145" spans="1:12" s="56" customFormat="1" ht="30.9" customHeight="1" x14ac:dyDescent="0.3">
      <c r="A145" s="64"/>
      <c r="B145" s="65"/>
      <c r="C145" s="66"/>
      <c r="D145" s="67"/>
      <c r="E145" s="256" t="s">
        <v>44</v>
      </c>
      <c r="F145" s="256"/>
      <c r="G145" s="256"/>
      <c r="H145" s="68">
        <f>(H144*12^2)/162</f>
        <v>12.191999999999998</v>
      </c>
      <c r="I145" s="69" t="s">
        <v>45</v>
      </c>
      <c r="J145" s="70" t="s">
        <v>46</v>
      </c>
      <c r="K145" s="71"/>
      <c r="L145" s="72"/>
    </row>
    <row r="146" spans="1:12" s="56" customFormat="1" ht="14.1" customHeight="1" x14ac:dyDescent="0.3">
      <c r="A146" s="45"/>
      <c r="B146" s="46"/>
      <c r="C146" s="47"/>
      <c r="D146" s="48"/>
      <c r="E146" s="48"/>
      <c r="F146" s="49"/>
      <c r="G146" s="48"/>
      <c r="H146" s="49"/>
      <c r="I146" s="50"/>
      <c r="J146" s="51"/>
      <c r="K146" s="52"/>
      <c r="L146" s="53"/>
    </row>
    <row r="147" spans="1:12" s="56" customFormat="1" x14ac:dyDescent="0.3">
      <c r="A147" s="17"/>
      <c r="B147" s="18"/>
      <c r="C147" s="19" t="s">
        <v>79</v>
      </c>
      <c r="D147" s="20"/>
      <c r="E147" s="20"/>
      <c r="F147" s="21"/>
      <c r="G147" s="20"/>
      <c r="H147" s="57"/>
      <c r="I147" s="23"/>
      <c r="J147" s="24"/>
      <c r="K147" s="25"/>
      <c r="L147" s="26"/>
    </row>
    <row r="148" spans="1:12" s="56" customFormat="1" ht="16.2" x14ac:dyDescent="0.3">
      <c r="A148" s="17"/>
      <c r="B148" s="18"/>
      <c r="C148" s="58" t="s">
        <v>48</v>
      </c>
      <c r="D148" s="20"/>
      <c r="E148" s="20"/>
      <c r="F148" s="21"/>
      <c r="G148" s="20"/>
      <c r="H148" s="57"/>
      <c r="I148" s="23"/>
      <c r="J148" s="24"/>
      <c r="K148" s="25"/>
      <c r="L148" s="26"/>
    </row>
    <row r="149" spans="1:12" s="56" customFormat="1" x14ac:dyDescent="0.3">
      <c r="A149" s="17"/>
      <c r="B149" s="18"/>
      <c r="C149" s="19" t="s">
        <v>80</v>
      </c>
      <c r="D149" s="20"/>
      <c r="E149" s="20"/>
      <c r="F149" s="21"/>
      <c r="G149" s="20"/>
      <c r="H149" s="57"/>
      <c r="I149" s="23"/>
      <c r="J149" s="24"/>
      <c r="K149" s="25"/>
      <c r="L149" s="26"/>
    </row>
    <row r="150" spans="1:12" s="56" customFormat="1" x14ac:dyDescent="0.3">
      <c r="A150" s="17"/>
      <c r="B150" s="18"/>
      <c r="C150" s="19"/>
      <c r="D150" s="20">
        <v>1</v>
      </c>
      <c r="E150" s="20">
        <v>22</v>
      </c>
      <c r="F150" s="21">
        <v>2.1659999999999999</v>
      </c>
      <c r="G150" s="20"/>
      <c r="H150" s="22">
        <f>D150*IF(OR(E150=0,E150="-"),1,E150)*IF(OR(F150=0,F150="-"),1,F150)*IF(OR(G150=0,G150="-"),1,G150)</f>
        <v>47.652000000000001</v>
      </c>
      <c r="I150" s="23" t="s">
        <v>39</v>
      </c>
      <c r="J150" s="24"/>
      <c r="K150" s="25"/>
      <c r="L150" s="26"/>
    </row>
    <row r="151" spans="1:12" x14ac:dyDescent="0.3">
      <c r="A151" s="27"/>
      <c r="B151" s="28"/>
      <c r="C151" s="29"/>
      <c r="D151" s="30"/>
      <c r="E151" s="30"/>
      <c r="F151" s="250" t="s">
        <v>41</v>
      </c>
      <c r="G151" s="250"/>
      <c r="H151" s="31">
        <f>SUM(H150:H150)</f>
        <v>47.652000000000001</v>
      </c>
      <c r="I151" s="32" t="s">
        <v>39</v>
      </c>
      <c r="J151" s="33"/>
      <c r="K151" s="59"/>
      <c r="L151" s="35"/>
    </row>
    <row r="152" spans="1:12" x14ac:dyDescent="0.3">
      <c r="A152" s="60"/>
      <c r="B152" s="37"/>
      <c r="C152" s="38"/>
      <c r="D152" s="39"/>
      <c r="E152" s="249" t="s">
        <v>42</v>
      </c>
      <c r="F152" s="249"/>
      <c r="G152" s="249"/>
      <c r="H152" s="40">
        <f>ROUND(H151*0.3048,3)</f>
        <v>14.523999999999999</v>
      </c>
      <c r="I152" s="61" t="s">
        <v>43</v>
      </c>
      <c r="J152" s="42"/>
      <c r="K152" s="62"/>
      <c r="L152" s="63"/>
    </row>
    <row r="153" spans="1:12" ht="30.9" customHeight="1" x14ac:dyDescent="0.3">
      <c r="A153" s="73"/>
      <c r="B153" s="74"/>
      <c r="C153" s="75"/>
      <c r="D153" s="76"/>
      <c r="E153" s="257" t="s">
        <v>49</v>
      </c>
      <c r="F153" s="257"/>
      <c r="G153" s="257"/>
      <c r="H153" s="77">
        <f>(H152*8^2)/162</f>
        <v>5.7378765432098762</v>
      </c>
      <c r="I153" s="78" t="s">
        <v>45</v>
      </c>
      <c r="J153" s="79" t="s">
        <v>50</v>
      </c>
      <c r="K153" s="80"/>
      <c r="L153" s="81"/>
    </row>
    <row r="154" spans="1:12" ht="14.1" customHeight="1" x14ac:dyDescent="0.3">
      <c r="A154" s="82"/>
      <c r="B154" s="83"/>
      <c r="C154" s="84"/>
      <c r="D154" s="85"/>
      <c r="E154" s="84"/>
      <c r="F154" s="84"/>
      <c r="G154" s="84"/>
      <c r="H154" s="84"/>
      <c r="I154" s="86"/>
      <c r="J154" s="84"/>
      <c r="K154" s="87" t="str">
        <f>""</f>
        <v/>
      </c>
      <c r="L154" s="88"/>
    </row>
    <row r="155" spans="1:12" ht="30.9" customHeight="1" x14ac:dyDescent="0.3">
      <c r="A155" s="89"/>
      <c r="B155" s="90"/>
      <c r="C155" s="91"/>
      <c r="D155" s="90"/>
      <c r="E155" s="258" t="s">
        <v>51</v>
      </c>
      <c r="F155" s="258"/>
      <c r="G155" s="258"/>
      <c r="H155" s="92">
        <f>SUM(H145,H153)</f>
        <v>17.929876543209875</v>
      </c>
      <c r="I155" s="93" t="s">
        <v>45</v>
      </c>
      <c r="J155" s="94" t="s">
        <v>34</v>
      </c>
      <c r="K155" s="95">
        <f>IF(B139="6.34.6",_xlfn.IFS(J155="Labour rates Amnd",6,J155="Material rates Amnd",62,J155="Through rates Amnd",68,J155="Labour Rate",2,J155="Material Rate",59,J155="Through Rate",61,TRUE,""),"")</f>
        <v>68</v>
      </c>
      <c r="L155" s="96">
        <f>IF(H155*K155&lt;&gt;0,H155*K155,0)</f>
        <v>1219.2316049382716</v>
      </c>
    </row>
    <row r="156" spans="1:12" ht="14.1" customHeight="1" x14ac:dyDescent="0.3">
      <c r="A156" s="82"/>
      <c r="B156" s="83"/>
      <c r="C156" s="84"/>
      <c r="D156" s="85"/>
      <c r="E156" s="84"/>
      <c r="F156" s="84"/>
      <c r="G156" s="84"/>
      <c r="H156" s="84"/>
      <c r="I156" s="86"/>
      <c r="J156" s="84"/>
      <c r="K156" s="84"/>
      <c r="L156" s="88"/>
    </row>
    <row r="157" spans="1:12" ht="96.6" x14ac:dyDescent="0.3">
      <c r="A157" s="97">
        <f>IFERROR(LOOKUP(2,1/(ISNUMBER($A$4:$A$156)),$A$4:$A$156),0)+1</f>
        <v>16</v>
      </c>
      <c r="B157" s="98" t="s">
        <v>81</v>
      </c>
      <c r="C157" s="99" t="s">
        <v>82</v>
      </c>
      <c r="D157" s="100"/>
      <c r="E157" s="101"/>
      <c r="F157" s="102"/>
      <c r="G157" s="101"/>
      <c r="H157" s="102"/>
      <c r="I157" s="103"/>
      <c r="J157" s="104"/>
      <c r="K157" s="105"/>
      <c r="L157" s="106"/>
    </row>
    <row r="158" spans="1:12" x14ac:dyDescent="0.3">
      <c r="A158" s="17"/>
      <c r="B158" s="18"/>
      <c r="C158" s="19" t="s">
        <v>78</v>
      </c>
      <c r="D158" s="20"/>
      <c r="E158" s="20"/>
      <c r="F158" s="21"/>
      <c r="G158" s="20"/>
      <c r="H158" s="57"/>
      <c r="I158" s="23"/>
      <c r="J158" s="24"/>
      <c r="K158" s="25"/>
      <c r="L158" s="26"/>
    </row>
    <row r="159" spans="1:12" x14ac:dyDescent="0.3">
      <c r="A159" s="17"/>
      <c r="B159" s="18"/>
      <c r="C159" s="19"/>
      <c r="D159" s="20">
        <v>1</v>
      </c>
      <c r="E159" s="20">
        <v>11.25</v>
      </c>
      <c r="F159" s="21">
        <v>0.75</v>
      </c>
      <c r="G159" s="20">
        <v>0.5</v>
      </c>
      <c r="H159" s="22">
        <f>D159*IF(OR(E159=0,E159="-"),1,E159)*IF(OR(F159=0,F159="-"),1,F159)*IF(OR(G159=0,G159="-"),1,G159)</f>
        <v>4.21875</v>
      </c>
      <c r="I159" s="23" t="s">
        <v>24</v>
      </c>
      <c r="J159" s="24"/>
      <c r="K159" s="25"/>
      <c r="L159" s="26"/>
    </row>
    <row r="160" spans="1:12" s="56" customFormat="1" x14ac:dyDescent="0.3">
      <c r="A160" s="27"/>
      <c r="B160" s="28"/>
      <c r="C160" s="29"/>
      <c r="D160" s="30"/>
      <c r="E160" s="30"/>
      <c r="F160" s="250" t="s">
        <v>26</v>
      </c>
      <c r="G160" s="250"/>
      <c r="H160" s="31">
        <f>SUM(H159:H159)</f>
        <v>4.21875</v>
      </c>
      <c r="I160" s="32" t="s">
        <v>24</v>
      </c>
      <c r="J160" s="33"/>
      <c r="K160" s="34" t="str">
        <f>""</f>
        <v/>
      </c>
      <c r="L160" s="35"/>
    </row>
    <row r="161" spans="1:12" ht="31.2" x14ac:dyDescent="0.3">
      <c r="A161" s="36"/>
      <c r="B161" s="37"/>
      <c r="C161" s="38"/>
      <c r="D161" s="39"/>
      <c r="E161" s="249" t="s">
        <v>27</v>
      </c>
      <c r="F161" s="249"/>
      <c r="G161" s="249"/>
      <c r="H161" s="40">
        <f>ROUND(H160*0.0283,3)</f>
        <v>0.11899999999999999</v>
      </c>
      <c r="I161" s="41" t="s">
        <v>28</v>
      </c>
      <c r="J161" s="42" t="s">
        <v>19</v>
      </c>
      <c r="K161" s="43">
        <f>IF(B157="6.16",_xlfn.IFS(J161="Labour Rate",2909,J161="Material Rate",3203,J161="Through Rate",6113,TRUE,""),"")</f>
        <v>6113</v>
      </c>
      <c r="L161" s="44">
        <f>IF(H161*K161&lt;&gt;0,H161*K161,0)</f>
        <v>727.447</v>
      </c>
    </row>
    <row r="162" spans="1:12" ht="14.1" customHeight="1" x14ac:dyDescent="0.3">
      <c r="A162" s="45"/>
      <c r="B162" s="46"/>
      <c r="C162" s="47"/>
      <c r="D162" s="48"/>
      <c r="E162" s="48"/>
      <c r="F162" s="49"/>
      <c r="G162" s="48"/>
      <c r="H162" s="49"/>
      <c r="I162" s="50"/>
      <c r="J162" s="51"/>
      <c r="K162" s="52"/>
      <c r="L162" s="53"/>
    </row>
    <row r="163" spans="1:12" s="56" customFormat="1" ht="53.4" x14ac:dyDescent="0.3">
      <c r="A163" s="7">
        <f>IFERROR(LOOKUP(2,1/(ISNUMBER($A$4:$A$162)),$A$4:$A$162),0)+1</f>
        <v>17</v>
      </c>
      <c r="B163" s="8" t="s">
        <v>55</v>
      </c>
      <c r="C163" s="9" t="s">
        <v>56</v>
      </c>
      <c r="D163" s="10"/>
      <c r="E163" s="11"/>
      <c r="F163" s="12"/>
      <c r="G163" s="11"/>
      <c r="H163" s="12"/>
      <c r="I163" s="13"/>
      <c r="J163" s="14"/>
      <c r="K163" s="15"/>
      <c r="L163" s="16"/>
    </row>
    <row r="164" spans="1:12" s="56" customFormat="1" x14ac:dyDescent="0.3">
      <c r="A164" s="17"/>
      <c r="B164" s="18"/>
      <c r="C164" s="19" t="s">
        <v>78</v>
      </c>
      <c r="D164" s="20"/>
      <c r="E164" s="20"/>
      <c r="F164" s="21"/>
      <c r="G164" s="20"/>
      <c r="H164" s="57"/>
      <c r="I164" s="23"/>
      <c r="J164" s="24"/>
      <c r="K164" s="25"/>
      <c r="L164" s="26"/>
    </row>
    <row r="165" spans="1:12" s="56" customFormat="1" x14ac:dyDescent="0.3">
      <c r="A165" s="117"/>
      <c r="B165" s="118"/>
      <c r="C165" s="119"/>
      <c r="D165" s="11"/>
      <c r="E165" s="11"/>
      <c r="F165" s="12"/>
      <c r="G165" s="11"/>
      <c r="H165" s="120"/>
      <c r="I165" s="13"/>
      <c r="J165" s="121"/>
      <c r="K165" s="122"/>
      <c r="L165" s="16"/>
    </row>
    <row r="166" spans="1:12" s="56" customFormat="1" x14ac:dyDescent="0.3">
      <c r="A166" s="17"/>
      <c r="B166" s="18"/>
      <c r="C166" s="19"/>
      <c r="D166" s="20">
        <v>2</v>
      </c>
      <c r="E166" s="20">
        <v>11.25</v>
      </c>
      <c r="F166" s="21"/>
      <c r="G166" s="20">
        <v>0.5</v>
      </c>
      <c r="H166" s="22">
        <f>D166*IF(OR(E166=0,E166="-"),1,E166)*IF(OR(F166=0,F166="-"),1,F166)*IF(OR(G166=0,G166="-"),1,G166)</f>
        <v>11.25</v>
      </c>
      <c r="I166" s="23" t="s">
        <v>15</v>
      </c>
      <c r="J166" s="24"/>
      <c r="K166" s="25"/>
      <c r="L166" s="26"/>
    </row>
    <row r="167" spans="1:12" x14ac:dyDescent="0.3">
      <c r="A167" s="27"/>
      <c r="B167" s="28"/>
      <c r="C167" s="29"/>
      <c r="D167" s="30"/>
      <c r="E167" s="30"/>
      <c r="F167" s="250" t="s">
        <v>16</v>
      </c>
      <c r="G167" s="250"/>
      <c r="H167" s="31">
        <f>SUM(H166:H166)</f>
        <v>11.25</v>
      </c>
      <c r="I167" s="32" t="s">
        <v>15</v>
      </c>
      <c r="J167" s="33"/>
      <c r="K167" s="34" t="str">
        <f>""</f>
        <v/>
      </c>
      <c r="L167" s="35"/>
    </row>
    <row r="168" spans="1:12" ht="31.2" x14ac:dyDescent="0.3">
      <c r="A168" s="36"/>
      <c r="B168" s="37"/>
      <c r="C168" s="38"/>
      <c r="D168" s="39"/>
      <c r="E168" s="249" t="s">
        <v>17</v>
      </c>
      <c r="F168" s="249"/>
      <c r="G168" s="249"/>
      <c r="H168" s="40">
        <f>ROUND(H167*0.0929,3)</f>
        <v>1.0449999999999999</v>
      </c>
      <c r="I168" s="41" t="s">
        <v>18</v>
      </c>
      <c r="J168" s="42" t="s">
        <v>19</v>
      </c>
      <c r="K168" s="43">
        <f>IF(B163="6.30.5",_xlfn.IFS(J168="Labour Rate",220,J168="Material Rate",77,J168="Through Rate",296,TRUE,""),"")</f>
        <v>296</v>
      </c>
      <c r="L168" s="44">
        <f>IF(H168*K168&lt;&gt;0,H168*K168,0)</f>
        <v>309.32</v>
      </c>
    </row>
    <row r="169" spans="1:12" ht="14.1" customHeight="1" x14ac:dyDescent="0.3">
      <c r="A169" s="45"/>
      <c r="B169" s="46"/>
      <c r="C169" s="47"/>
      <c r="D169" s="48"/>
      <c r="E169" s="48"/>
      <c r="F169" s="49"/>
      <c r="G169" s="48"/>
      <c r="H169" s="49"/>
      <c r="I169" s="50"/>
      <c r="J169" s="51"/>
      <c r="K169" s="52"/>
      <c r="L169" s="53"/>
    </row>
    <row r="170" spans="1:12" ht="96.6" x14ac:dyDescent="0.3">
      <c r="A170" s="7">
        <f>IFERROR(LOOKUP(2,1/(ISNUMBER($A$4:$A$169)),$A$4:$A$169),0)+1</f>
        <v>18</v>
      </c>
      <c r="B170" s="54" t="s">
        <v>81</v>
      </c>
      <c r="C170" s="9" t="s">
        <v>82</v>
      </c>
      <c r="D170" s="10"/>
      <c r="E170" s="11"/>
      <c r="F170" s="12"/>
      <c r="G170" s="11"/>
      <c r="H170" s="12"/>
      <c r="I170" s="13"/>
      <c r="J170" s="14"/>
      <c r="K170" s="15"/>
      <c r="L170" s="16"/>
    </row>
    <row r="171" spans="1:12" x14ac:dyDescent="0.3">
      <c r="A171" s="17"/>
      <c r="B171" s="18"/>
      <c r="C171" s="19" t="s">
        <v>83</v>
      </c>
      <c r="D171" s="20">
        <v>1</v>
      </c>
      <c r="E171" s="20">
        <v>11.25</v>
      </c>
      <c r="F171" s="21">
        <v>7.5</v>
      </c>
      <c r="G171" s="20">
        <v>0.5</v>
      </c>
      <c r="H171" s="22">
        <f>D171*IF(OR(E171=0,E171="-"),1,E171)*IF(OR(F171=0,F171="-"),1,F171)*IF(OR(G171=0,G171="-"),1,G171)</f>
        <v>42.1875</v>
      </c>
      <c r="I171" s="23" t="s">
        <v>24</v>
      </c>
      <c r="J171" s="24"/>
      <c r="K171" s="25"/>
      <c r="L171" s="26"/>
    </row>
    <row r="172" spans="1:12" x14ac:dyDescent="0.3">
      <c r="A172" s="27"/>
      <c r="B172" s="28"/>
      <c r="C172" s="29"/>
      <c r="D172" s="30"/>
      <c r="E172" s="30"/>
      <c r="F172" s="250" t="s">
        <v>26</v>
      </c>
      <c r="G172" s="250"/>
      <c r="H172" s="31">
        <f>SUM(H171:H171)</f>
        <v>42.1875</v>
      </c>
      <c r="I172" s="32" t="s">
        <v>24</v>
      </c>
      <c r="J172" s="33"/>
      <c r="K172" s="34" t="str">
        <f>""</f>
        <v/>
      </c>
      <c r="L172" s="35"/>
    </row>
    <row r="173" spans="1:12" ht="31.2" x14ac:dyDescent="0.3">
      <c r="A173" s="36"/>
      <c r="B173" s="37"/>
      <c r="C173" s="38"/>
      <c r="D173" s="39"/>
      <c r="E173" s="249" t="s">
        <v>27</v>
      </c>
      <c r="F173" s="249"/>
      <c r="G173" s="249"/>
      <c r="H173" s="40">
        <f>ROUND(H172*0.0283,3)</f>
        <v>1.194</v>
      </c>
      <c r="I173" s="41" t="s">
        <v>28</v>
      </c>
      <c r="J173" s="42" t="s">
        <v>19</v>
      </c>
      <c r="K173" s="43">
        <f>IF(B170="6.16",_xlfn.IFS(J173="Labour Rate",2909,J173="Material Rate",3203,J173="Through Rate",6113,TRUE,""),"")</f>
        <v>6113</v>
      </c>
      <c r="L173" s="44">
        <f>IF(H173*K173&lt;&gt;0,H173*K173,0)</f>
        <v>7298.9219999999996</v>
      </c>
    </row>
    <row r="174" spans="1:12" ht="14.1" customHeight="1" x14ac:dyDescent="0.3">
      <c r="A174" s="45"/>
      <c r="B174" s="46"/>
      <c r="C174" s="47"/>
      <c r="D174" s="48"/>
      <c r="E174" s="48"/>
      <c r="F174" s="49"/>
      <c r="G174" s="48"/>
      <c r="H174" s="49"/>
      <c r="I174" s="50"/>
      <c r="J174" s="51"/>
      <c r="K174" s="52"/>
      <c r="L174" s="53"/>
    </row>
    <row r="175" spans="1:12" ht="150" x14ac:dyDescent="0.3">
      <c r="A175" s="7">
        <f>IFERROR(LOOKUP(2,1/(ISNUMBER($A$4:$A$174)),$A$4:$A$174),0)+1</f>
        <v>19</v>
      </c>
      <c r="B175" s="8" t="s">
        <v>35</v>
      </c>
      <c r="C175" s="9" t="s">
        <v>36</v>
      </c>
      <c r="D175" s="10"/>
      <c r="E175" s="11"/>
      <c r="F175" s="12"/>
      <c r="G175" s="11"/>
      <c r="H175" s="12"/>
      <c r="I175" s="13"/>
      <c r="J175" s="14"/>
      <c r="K175" s="15"/>
      <c r="L175" s="16"/>
    </row>
    <row r="176" spans="1:12" x14ac:dyDescent="0.3">
      <c r="A176" s="17"/>
      <c r="B176" s="18"/>
      <c r="C176" s="19" t="s">
        <v>84</v>
      </c>
      <c r="D176" s="123">
        <v>120</v>
      </c>
      <c r="E176" s="20"/>
      <c r="F176" s="21">
        <f>H173</f>
        <v>1.194</v>
      </c>
      <c r="G176" s="20"/>
      <c r="H176" s="22">
        <f>D176*IF(OR(E176=0,E176="-"),1,E176)*IF(OR(F176=0,F176="-"),1,F176)*IF(OR(G176=0,G176="-"),1,G176)</f>
        <v>143.28</v>
      </c>
      <c r="I176" s="23" t="s">
        <v>85</v>
      </c>
      <c r="J176" s="24"/>
      <c r="K176" s="25"/>
      <c r="L176" s="26"/>
    </row>
    <row r="177" spans="1:12" x14ac:dyDescent="0.3">
      <c r="A177" s="27"/>
      <c r="B177" s="28"/>
      <c r="C177" s="29"/>
      <c r="D177" s="30"/>
      <c r="E177" s="30"/>
      <c r="F177" s="250" t="s">
        <v>86</v>
      </c>
      <c r="G177" s="250"/>
      <c r="H177" s="31">
        <f>SUM(H176:H176)</f>
        <v>143.28</v>
      </c>
      <c r="I177" s="32" t="s">
        <v>85</v>
      </c>
      <c r="J177" s="33"/>
      <c r="K177" s="34" t="str">
        <f>""</f>
        <v/>
      </c>
      <c r="L177" s="35"/>
    </row>
    <row r="178" spans="1:12" ht="46.8" x14ac:dyDescent="0.3">
      <c r="A178" s="36"/>
      <c r="B178" s="37"/>
      <c r="C178" s="38"/>
      <c r="D178" s="39"/>
      <c r="E178" s="249" t="s">
        <v>74</v>
      </c>
      <c r="F178" s="249"/>
      <c r="G178" s="249"/>
      <c r="H178" s="40">
        <f>ROUND(H177*1,3)</f>
        <v>143.28</v>
      </c>
      <c r="I178" s="41" t="s">
        <v>45</v>
      </c>
      <c r="J178" s="42" t="s">
        <v>34</v>
      </c>
      <c r="K178" s="43">
        <f>IF(B175="6.34.6",_xlfn.IFS(J178="Labour rates Amnd",6,J178="Material rates Amnd",62,J178="Through rates Amnd",68,J178="Labour Rate",2,J178="Material Rate",59,J178="Through Rate",61,TRUE,""),"")</f>
        <v>68</v>
      </c>
      <c r="L178" s="44">
        <f>IF(H178*K178&lt;&gt;0,H178*K178,0)</f>
        <v>9743.0400000000009</v>
      </c>
    </row>
    <row r="179" spans="1:12" ht="14.1" customHeight="1" x14ac:dyDescent="0.3">
      <c r="A179" s="45"/>
      <c r="B179" s="46"/>
      <c r="C179" s="47"/>
      <c r="D179" s="48"/>
      <c r="E179" s="48"/>
      <c r="F179" s="49"/>
      <c r="G179" s="48"/>
      <c r="H179" s="49"/>
      <c r="I179" s="50"/>
      <c r="J179" s="51"/>
      <c r="K179" s="52"/>
      <c r="L179" s="53"/>
    </row>
    <row r="180" spans="1:12" ht="53.4" x14ac:dyDescent="0.3">
      <c r="A180" s="7">
        <f>IFERROR(LOOKUP(2,1/(ISNUMBER($A$4:$A$179)),$A$4:$A$179),0)+1</f>
        <v>20</v>
      </c>
      <c r="B180" s="124" t="s">
        <v>87</v>
      </c>
      <c r="C180" s="9" t="s">
        <v>88</v>
      </c>
      <c r="D180" s="10"/>
      <c r="E180" s="11"/>
      <c r="F180" s="12"/>
      <c r="G180" s="11"/>
      <c r="H180" s="12"/>
      <c r="I180" s="13"/>
      <c r="J180" s="14"/>
      <c r="K180" s="15"/>
      <c r="L180" s="16"/>
    </row>
    <row r="181" spans="1:12" x14ac:dyDescent="0.3">
      <c r="A181" s="17"/>
      <c r="B181" s="18"/>
      <c r="C181" s="19"/>
      <c r="D181" s="20">
        <v>3</v>
      </c>
      <c r="E181" s="20">
        <v>4</v>
      </c>
      <c r="F181" s="21">
        <v>3</v>
      </c>
      <c r="G181" s="20"/>
      <c r="H181" s="22">
        <f>D181*IF(OR(E181=0,E181="-"),1,E181)*IF(OR(F181=0,F181="-"),1,F181)*IF(OR(G181=0,G181="-"),1,G181)</f>
        <v>36</v>
      </c>
      <c r="I181" s="23" t="s">
        <v>15</v>
      </c>
      <c r="J181" s="24"/>
      <c r="K181" s="25"/>
      <c r="L181" s="26"/>
    </row>
    <row r="182" spans="1:12" x14ac:dyDescent="0.3">
      <c r="A182" s="17"/>
      <c r="B182" s="18"/>
      <c r="C182" s="19"/>
      <c r="D182" s="20">
        <v>1</v>
      </c>
      <c r="E182" s="20">
        <f>11.25-1.5</f>
        <v>9.75</v>
      </c>
      <c r="F182" s="21">
        <v>2</v>
      </c>
      <c r="G182" s="20"/>
      <c r="H182" s="22">
        <f>D182*IF(OR(E182=0,E182="-"),1,E182)*IF(OR(F182=0,F182="-"),1,F182)*IF(OR(G182=0,G182="-"),1,G182)</f>
        <v>19.5</v>
      </c>
      <c r="I182" s="23" t="s">
        <v>15</v>
      </c>
      <c r="J182" s="24"/>
      <c r="K182" s="25"/>
      <c r="L182" s="26"/>
    </row>
    <row r="183" spans="1:12" x14ac:dyDescent="0.3">
      <c r="A183" s="27"/>
      <c r="B183" s="28"/>
      <c r="C183" s="29"/>
      <c r="D183" s="30"/>
      <c r="E183" s="30"/>
      <c r="F183" s="250" t="s">
        <v>16</v>
      </c>
      <c r="G183" s="250"/>
      <c r="H183" s="31">
        <f>SUM(H181:H182)</f>
        <v>55.5</v>
      </c>
      <c r="I183" s="32" t="s">
        <v>15</v>
      </c>
      <c r="J183" s="33"/>
      <c r="K183" s="34" t="str">
        <f>""</f>
        <v/>
      </c>
      <c r="L183" s="35"/>
    </row>
    <row r="184" spans="1:12" ht="31.2" x14ac:dyDescent="0.3">
      <c r="A184" s="36"/>
      <c r="B184" s="37"/>
      <c r="C184" s="38"/>
      <c r="D184" s="39"/>
      <c r="E184" s="249" t="s">
        <v>17</v>
      </c>
      <c r="F184" s="249"/>
      <c r="G184" s="249"/>
      <c r="H184" s="40">
        <f>ROUND(H183*0.0929,3)</f>
        <v>5.1559999999999997</v>
      </c>
      <c r="I184" s="41" t="s">
        <v>18</v>
      </c>
      <c r="J184" s="42" t="s">
        <v>19</v>
      </c>
      <c r="K184" s="43">
        <f>IF(B180="6.30.3",_xlfn.IFS(J184="Labour Rate",141,J184="Material Rate",67,J184="Through Rate",208,TRUE,""),"")</f>
        <v>208</v>
      </c>
      <c r="L184" s="44">
        <f>IF(H184*K184&lt;&gt;0,H184*K184,0)</f>
        <v>1072.4479999999999</v>
      </c>
    </row>
    <row r="185" spans="1:12" ht="14.1" customHeight="1" x14ac:dyDescent="0.3">
      <c r="A185" s="45"/>
      <c r="B185" s="46"/>
      <c r="C185" s="47"/>
      <c r="D185" s="48"/>
      <c r="E185" s="48"/>
      <c r="F185" s="49"/>
      <c r="G185" s="48"/>
      <c r="H185" s="49"/>
      <c r="I185" s="50"/>
      <c r="J185" s="51"/>
      <c r="K185" s="52"/>
      <c r="L185" s="53"/>
    </row>
    <row r="186" spans="1:12" ht="53.4" x14ac:dyDescent="0.3">
      <c r="A186" s="7">
        <f>IFERROR(LOOKUP(2,1/(ISNUMBER($A$4:$A$185)),$A$4:$A$185),0)+1</f>
        <v>21</v>
      </c>
      <c r="B186" s="8" t="s">
        <v>60</v>
      </c>
      <c r="C186" s="9" t="s">
        <v>61</v>
      </c>
      <c r="D186" s="10"/>
      <c r="E186" s="11"/>
      <c r="F186" s="12"/>
      <c r="G186" s="11"/>
      <c r="H186" s="12"/>
      <c r="I186" s="13"/>
      <c r="J186" s="14"/>
      <c r="K186" s="15"/>
      <c r="L186" s="16"/>
    </row>
    <row r="187" spans="1:12" x14ac:dyDescent="0.3">
      <c r="A187" s="17"/>
      <c r="B187" s="18"/>
      <c r="C187" s="19" t="s">
        <v>89</v>
      </c>
      <c r="D187" s="20"/>
      <c r="E187" s="20"/>
      <c r="F187" s="21"/>
      <c r="G187" s="20"/>
      <c r="H187" s="57"/>
      <c r="I187" s="23"/>
      <c r="J187" s="24"/>
      <c r="K187" s="25"/>
      <c r="L187" s="26"/>
    </row>
    <row r="188" spans="1:12" x14ac:dyDescent="0.3">
      <c r="A188" s="17"/>
      <c r="B188" s="18"/>
      <c r="C188" s="19"/>
      <c r="D188" s="20">
        <v>2</v>
      </c>
      <c r="E188" s="20">
        <v>11.25</v>
      </c>
      <c r="F188" s="21">
        <v>0.75</v>
      </c>
      <c r="G188" s="20">
        <v>0.75</v>
      </c>
      <c r="H188" s="22">
        <f>D188*IF(OR(E188=0,E188="-"),1,E188)*IF(OR(F188=0,F188="-"),1,F188)*IF(OR(G188=0,G188="-"),1,G188)</f>
        <v>12.65625</v>
      </c>
      <c r="I188" s="23" t="s">
        <v>24</v>
      </c>
      <c r="J188" s="24"/>
      <c r="K188" s="25"/>
      <c r="L188" s="26"/>
    </row>
    <row r="189" spans="1:12" x14ac:dyDescent="0.3">
      <c r="A189" s="17"/>
      <c r="B189" s="18"/>
      <c r="C189" s="19"/>
      <c r="D189" s="20">
        <v>2</v>
      </c>
      <c r="E189" s="20">
        <v>6</v>
      </c>
      <c r="F189" s="21">
        <v>0.75</v>
      </c>
      <c r="G189" s="20">
        <v>0.75</v>
      </c>
      <c r="H189" s="22">
        <f>D189*IF(OR(E189=0,E189="-"),1,E189)*IF(OR(F189=0,F189="-"),1,F189)*IF(OR(G189=0,G189="-"),1,G189)</f>
        <v>6.75</v>
      </c>
      <c r="I189" s="23" t="s">
        <v>24</v>
      </c>
      <c r="J189" s="24"/>
      <c r="K189" s="25"/>
      <c r="L189" s="26"/>
    </row>
    <row r="190" spans="1:12" x14ac:dyDescent="0.3">
      <c r="A190" s="27"/>
      <c r="B190" s="28"/>
      <c r="C190" s="29"/>
      <c r="D190" s="30"/>
      <c r="E190" s="30"/>
      <c r="F190" s="250" t="s">
        <v>26</v>
      </c>
      <c r="G190" s="250"/>
      <c r="H190" s="31">
        <f>SUM(H188:H189)</f>
        <v>19.40625</v>
      </c>
      <c r="I190" s="32" t="s">
        <v>24</v>
      </c>
      <c r="J190" s="33"/>
      <c r="K190" s="34" t="str">
        <f>""</f>
        <v/>
      </c>
      <c r="L190" s="35"/>
    </row>
    <row r="191" spans="1:12" ht="46.8" x14ac:dyDescent="0.3">
      <c r="A191" s="36"/>
      <c r="B191" s="37"/>
      <c r="C191" s="38"/>
      <c r="D191" s="39"/>
      <c r="E191" s="249" t="s">
        <v>27</v>
      </c>
      <c r="F191" s="249"/>
      <c r="G191" s="249"/>
      <c r="H191" s="40">
        <f>ROUND(H190*0.0283,3)</f>
        <v>0.54900000000000004</v>
      </c>
      <c r="I191" s="41" t="s">
        <v>28</v>
      </c>
      <c r="J191" s="42" t="s">
        <v>34</v>
      </c>
      <c r="K191" s="43">
        <f>IF(B186="7.22.2",_xlfn.IFS(J191="Labour rates Amnd",1099,J191="Material rates Amnd",3389,J191="Through rates Amnd",4488,J191="Labour Rate",572,J191="Material Rate",3389,J191="Through Rate",3961,TRUE,""),"")</f>
        <v>4488</v>
      </c>
      <c r="L191" s="44">
        <f>IF(H191*K191&lt;&gt;0,H191*K191,0)</f>
        <v>2463.9120000000003</v>
      </c>
    </row>
    <row r="192" spans="1:12" ht="14.1" customHeight="1" x14ac:dyDescent="0.3">
      <c r="A192" s="45"/>
      <c r="B192" s="46"/>
      <c r="C192" s="47"/>
      <c r="D192" s="48"/>
      <c r="E192" s="48"/>
      <c r="F192" s="49"/>
      <c r="G192" s="48"/>
      <c r="H192" s="49"/>
      <c r="I192" s="50"/>
      <c r="J192" s="51"/>
      <c r="K192" s="52"/>
      <c r="L192" s="53"/>
    </row>
    <row r="193" spans="1:12" ht="108.6" x14ac:dyDescent="0.3">
      <c r="A193" s="7">
        <f>IFERROR(LOOKUP(2,1/(ISNUMBER($A$4:$A$192)),$A$4:$A$192),0)+1</f>
        <v>22</v>
      </c>
      <c r="B193" s="8" t="s">
        <v>90</v>
      </c>
      <c r="C193" s="9" t="s">
        <v>91</v>
      </c>
      <c r="D193" s="10"/>
      <c r="E193" s="11"/>
      <c r="F193" s="125"/>
      <c r="G193" s="11"/>
      <c r="H193" s="12"/>
      <c r="I193" s="13"/>
      <c r="J193" s="14"/>
      <c r="K193" s="15"/>
      <c r="L193" s="16"/>
    </row>
    <row r="194" spans="1:12" x14ac:dyDescent="0.3">
      <c r="A194" s="17"/>
      <c r="B194" s="18"/>
      <c r="C194" s="19"/>
      <c r="D194" s="20">
        <v>1</v>
      </c>
      <c r="E194" s="20">
        <f>11.25-1.5</f>
        <v>9.75</v>
      </c>
      <c r="F194" s="21">
        <v>7</v>
      </c>
      <c r="G194" s="20"/>
      <c r="H194" s="22">
        <f>D194*IF(OR(E194=0,E194="-"),1,E194)*IF(OR(F194=0,F194="-"),1,F194)*IF(OR(G194=0,G194="-"),1,G194)</f>
        <v>68.25</v>
      </c>
      <c r="I194" s="23" t="s">
        <v>15</v>
      </c>
      <c r="J194" s="24"/>
      <c r="K194" s="25"/>
      <c r="L194" s="26"/>
    </row>
    <row r="195" spans="1:12" x14ac:dyDescent="0.3">
      <c r="A195" s="27"/>
      <c r="B195" s="28"/>
      <c r="C195" s="29"/>
      <c r="D195" s="30"/>
      <c r="E195" s="30"/>
      <c r="F195" s="250" t="s">
        <v>16</v>
      </c>
      <c r="G195" s="250"/>
      <c r="H195" s="31">
        <f>SUM(H194:H194)</f>
        <v>68.25</v>
      </c>
      <c r="I195" s="32" t="s">
        <v>15</v>
      </c>
      <c r="J195" s="33"/>
      <c r="K195" s="34" t="str">
        <f>""</f>
        <v/>
      </c>
      <c r="L195" s="35"/>
    </row>
    <row r="196" spans="1:12" ht="31.2" x14ac:dyDescent="0.3">
      <c r="A196" s="36"/>
      <c r="B196" s="37"/>
      <c r="C196" s="38"/>
      <c r="D196" s="39"/>
      <c r="E196" s="249" t="s">
        <v>17</v>
      </c>
      <c r="F196" s="249"/>
      <c r="G196" s="249"/>
      <c r="H196" s="40">
        <f>ROUND(H195*0.0929,3)</f>
        <v>6.34</v>
      </c>
      <c r="I196" s="41" t="s">
        <v>18</v>
      </c>
      <c r="J196" s="42" t="s">
        <v>19</v>
      </c>
      <c r="K196" s="43">
        <f>IF(B193="9.11.1",_xlfn.IFS(J196="Labour Rate",200,J196="Material Rate",288,J196="Through Rate",488,TRUE,""),"")</f>
        <v>488</v>
      </c>
      <c r="L196" s="44">
        <f>IF(H196*K196&lt;&gt;0,H196*K196,0)</f>
        <v>3093.92</v>
      </c>
    </row>
    <row r="197" spans="1:12" ht="14.1" customHeight="1" x14ac:dyDescent="0.3">
      <c r="A197" s="45"/>
      <c r="B197" s="46"/>
      <c r="C197" s="47"/>
      <c r="D197" s="48"/>
      <c r="E197" s="48"/>
      <c r="F197" s="49"/>
      <c r="G197" s="48"/>
      <c r="H197" s="49"/>
      <c r="I197" s="50"/>
      <c r="J197" s="51"/>
      <c r="K197" s="52"/>
      <c r="L197" s="53"/>
    </row>
    <row r="198" spans="1:12" s="56" customFormat="1" ht="41.4" x14ac:dyDescent="0.3">
      <c r="A198" s="7">
        <f>IFERROR(LOOKUP(2,1/(ISNUMBER($A$4:$A$197)),$A$4:$A$197),0)+1</f>
        <v>23</v>
      </c>
      <c r="B198" s="54" t="s">
        <v>92</v>
      </c>
      <c r="C198" s="9" t="s">
        <v>93</v>
      </c>
      <c r="D198" s="10"/>
      <c r="E198" s="11"/>
      <c r="F198" s="12"/>
      <c r="G198" s="11"/>
      <c r="H198" s="12"/>
      <c r="I198" s="13"/>
      <c r="J198" s="14"/>
      <c r="K198" s="15"/>
      <c r="L198" s="16"/>
    </row>
    <row r="199" spans="1:12" s="56" customFormat="1" x14ac:dyDescent="0.3">
      <c r="A199" s="17"/>
      <c r="B199" s="18"/>
      <c r="C199" s="19"/>
      <c r="D199" s="20">
        <v>3</v>
      </c>
      <c r="E199" s="20">
        <v>4</v>
      </c>
      <c r="F199" s="21">
        <v>3</v>
      </c>
      <c r="G199" s="20"/>
      <c r="H199" s="22">
        <f>D199*IF(OR(E199=0,E199="-"),1,E199)*IF(OR(F199=0,F199="-"),1,F199)*IF(OR(G199=0,G199="-"),1,G199)</f>
        <v>36</v>
      </c>
      <c r="I199" s="23" t="s">
        <v>15</v>
      </c>
      <c r="J199" s="24"/>
      <c r="K199" s="25"/>
      <c r="L199" s="26"/>
    </row>
    <row r="200" spans="1:12" s="56" customFormat="1" x14ac:dyDescent="0.3">
      <c r="A200" s="17"/>
      <c r="B200" s="18"/>
      <c r="C200" s="19"/>
      <c r="D200" s="20">
        <v>1</v>
      </c>
      <c r="E200" s="20">
        <v>11.25</v>
      </c>
      <c r="F200" s="21">
        <v>3</v>
      </c>
      <c r="G200" s="20"/>
      <c r="H200" s="22">
        <f>D200*IF(OR(E200=0,E200="-"),1,E200)*IF(OR(F200=0,F200="-"),1,F200)*IF(OR(G200=0,G200="-"),1,G200)</f>
        <v>33.75</v>
      </c>
      <c r="I200" s="23" t="s">
        <v>15</v>
      </c>
      <c r="J200" s="24"/>
      <c r="K200" s="25"/>
      <c r="L200" s="26"/>
    </row>
    <row r="201" spans="1:12" x14ac:dyDescent="0.3">
      <c r="A201" s="27"/>
      <c r="B201" s="28"/>
      <c r="C201" s="29"/>
      <c r="D201" s="30"/>
      <c r="E201" s="30"/>
      <c r="F201" s="250" t="s">
        <v>16</v>
      </c>
      <c r="G201" s="250"/>
      <c r="H201" s="31">
        <f>SUM(H199:H200)</f>
        <v>69.75</v>
      </c>
      <c r="I201" s="32" t="s">
        <v>15</v>
      </c>
      <c r="J201" s="33"/>
      <c r="K201" s="34" t="str">
        <f>""</f>
        <v/>
      </c>
      <c r="L201" s="35"/>
    </row>
    <row r="202" spans="1:12" ht="31.2" x14ac:dyDescent="0.3">
      <c r="A202" s="36"/>
      <c r="B202" s="37"/>
      <c r="C202" s="38"/>
      <c r="D202" s="39"/>
      <c r="E202" s="249" t="s">
        <v>17</v>
      </c>
      <c r="F202" s="249"/>
      <c r="G202" s="249"/>
      <c r="H202" s="40">
        <f>ROUND(H201*0.0929,3)</f>
        <v>6.48</v>
      </c>
      <c r="I202" s="41" t="s">
        <v>18</v>
      </c>
      <c r="J202" s="42" t="s">
        <v>19</v>
      </c>
      <c r="K202" s="43">
        <f>IF(B198="10.1",_xlfn.IFS(J202="Labour Rate",66,J202="Material Rate",194,J202="Through Rate",260,TRUE,""),"")</f>
        <v>260</v>
      </c>
      <c r="L202" s="44">
        <f>IF(H202*K202&lt;&gt;0,H202*K202,0)</f>
        <v>1684.8000000000002</v>
      </c>
    </row>
    <row r="203" spans="1:12" ht="14.1" customHeight="1" x14ac:dyDescent="0.3">
      <c r="A203" s="45"/>
      <c r="B203" s="46"/>
      <c r="C203" s="47"/>
      <c r="D203" s="48"/>
      <c r="E203" s="48"/>
      <c r="F203" s="49"/>
      <c r="G203" s="48"/>
      <c r="H203" s="49"/>
      <c r="I203" s="50"/>
      <c r="J203" s="51"/>
      <c r="K203" s="52"/>
      <c r="L203" s="53"/>
    </row>
    <row r="204" spans="1:12" ht="39.6" x14ac:dyDescent="0.3">
      <c r="A204" s="7">
        <f>IFERROR(LOOKUP(2,1/(ISNUMBER($A$4:$A$203)),$A$4:$A$203),0)+1</f>
        <v>24</v>
      </c>
      <c r="B204" s="8" t="s">
        <v>94</v>
      </c>
      <c r="C204" s="9" t="s">
        <v>95</v>
      </c>
      <c r="D204" s="10"/>
      <c r="E204" s="11"/>
      <c r="F204" s="12"/>
      <c r="G204" s="11"/>
      <c r="H204" s="12"/>
      <c r="I204" s="13"/>
      <c r="J204" s="14"/>
      <c r="K204" s="15"/>
      <c r="L204" s="16"/>
    </row>
    <row r="205" spans="1:12" x14ac:dyDescent="0.3">
      <c r="A205" s="17"/>
      <c r="B205" s="18"/>
      <c r="C205" s="19" t="s">
        <v>96</v>
      </c>
      <c r="D205" s="20"/>
      <c r="E205" s="20"/>
      <c r="F205" s="21"/>
      <c r="G205" s="20"/>
      <c r="H205" s="57"/>
      <c r="I205" s="23"/>
      <c r="J205" s="24"/>
      <c r="K205" s="25"/>
      <c r="L205" s="26"/>
    </row>
    <row r="206" spans="1:12" x14ac:dyDescent="0.3">
      <c r="A206" s="17"/>
      <c r="B206" s="18"/>
      <c r="C206" s="19" t="s">
        <v>97</v>
      </c>
      <c r="D206" s="20"/>
      <c r="E206" s="20"/>
      <c r="F206" s="21"/>
      <c r="G206" s="20"/>
      <c r="H206" s="57" t="s">
        <v>98</v>
      </c>
      <c r="I206" s="23"/>
      <c r="J206" s="24"/>
      <c r="K206" s="25"/>
      <c r="L206" s="26"/>
    </row>
    <row r="207" spans="1:12" x14ac:dyDescent="0.3">
      <c r="A207" s="17"/>
      <c r="B207" s="18"/>
      <c r="C207" s="19"/>
      <c r="D207" s="20">
        <v>1</v>
      </c>
      <c r="E207" s="20">
        <v>11.25</v>
      </c>
      <c r="F207" s="21" t="s">
        <v>99</v>
      </c>
      <c r="G207" s="20">
        <v>12</v>
      </c>
      <c r="H207" s="22">
        <f t="shared" ref="H207:H212" si="2">D207*IF(OR(E207=0,E207="-"),1,E207)*IF(OR(F207=0,F207="-"),1,F207)*IF(OR(G207=0,G207="-"),1,G207)</f>
        <v>135</v>
      </c>
      <c r="I207" s="23" t="s">
        <v>15</v>
      </c>
      <c r="J207" s="24"/>
      <c r="K207" s="25"/>
      <c r="L207" s="26"/>
    </row>
    <row r="208" spans="1:12" x14ac:dyDescent="0.3">
      <c r="A208" s="17"/>
      <c r="B208" s="18"/>
      <c r="C208" s="19"/>
      <c r="D208" s="20">
        <v>1</v>
      </c>
      <c r="E208" s="20">
        <v>11.25</v>
      </c>
      <c r="F208" s="21" t="s">
        <v>99</v>
      </c>
      <c r="G208" s="20">
        <v>10</v>
      </c>
      <c r="H208" s="22">
        <f t="shared" si="2"/>
        <v>112.5</v>
      </c>
      <c r="I208" s="23" t="s">
        <v>15</v>
      </c>
      <c r="J208" s="24"/>
      <c r="K208" s="25"/>
      <c r="L208" s="26"/>
    </row>
    <row r="209" spans="1:12" x14ac:dyDescent="0.3">
      <c r="A209" s="17"/>
      <c r="B209" s="18"/>
      <c r="C209" s="19"/>
      <c r="D209" s="20">
        <v>2</v>
      </c>
      <c r="E209" s="20">
        <v>5.5</v>
      </c>
      <c r="F209" s="21"/>
      <c r="G209" s="20">
        <v>12</v>
      </c>
      <c r="H209" s="22">
        <f t="shared" si="2"/>
        <v>132</v>
      </c>
      <c r="I209" s="23" t="s">
        <v>15</v>
      </c>
      <c r="J209" s="24"/>
      <c r="K209" s="25"/>
      <c r="L209" s="26"/>
    </row>
    <row r="210" spans="1:12" x14ac:dyDescent="0.3">
      <c r="A210" s="17"/>
      <c r="B210" s="18"/>
      <c r="C210" s="19"/>
      <c r="D210" s="20">
        <v>1</v>
      </c>
      <c r="E210" s="20">
        <v>3.75</v>
      </c>
      <c r="F210" s="21"/>
      <c r="G210" s="20">
        <v>8</v>
      </c>
      <c r="H210" s="22">
        <f t="shared" si="2"/>
        <v>30</v>
      </c>
      <c r="I210" s="23" t="s">
        <v>15</v>
      </c>
      <c r="J210" s="24"/>
      <c r="K210" s="25"/>
      <c r="L210" s="26"/>
    </row>
    <row r="211" spans="1:12" x14ac:dyDescent="0.3">
      <c r="A211" s="17"/>
      <c r="B211" s="18"/>
      <c r="C211" s="19" t="s">
        <v>62</v>
      </c>
      <c r="D211" s="20">
        <v>-3</v>
      </c>
      <c r="E211" s="20">
        <v>2.5</v>
      </c>
      <c r="F211" s="21"/>
      <c r="G211" s="20">
        <v>7</v>
      </c>
      <c r="H211" s="22">
        <f t="shared" si="2"/>
        <v>-52.5</v>
      </c>
      <c r="I211" s="23" t="s">
        <v>15</v>
      </c>
      <c r="J211" s="24"/>
      <c r="K211" s="25"/>
      <c r="L211" s="26"/>
    </row>
    <row r="212" spans="1:12" x14ac:dyDescent="0.3">
      <c r="A212" s="17"/>
      <c r="B212" s="18"/>
      <c r="C212" s="19" t="s">
        <v>63</v>
      </c>
      <c r="D212" s="20">
        <v>-3</v>
      </c>
      <c r="E212" s="20">
        <v>1.5</v>
      </c>
      <c r="F212" s="21"/>
      <c r="G212" s="20">
        <v>1.5</v>
      </c>
      <c r="H212" s="22">
        <f t="shared" si="2"/>
        <v>-6.75</v>
      </c>
      <c r="I212" s="23" t="s">
        <v>15</v>
      </c>
      <c r="J212" s="24"/>
      <c r="K212" s="25"/>
      <c r="L212" s="26"/>
    </row>
    <row r="213" spans="1:12" x14ac:dyDescent="0.3">
      <c r="A213" s="27"/>
      <c r="B213" s="28"/>
      <c r="C213" s="29"/>
      <c r="D213" s="30"/>
      <c r="E213" s="30"/>
      <c r="F213" s="250" t="s">
        <v>16</v>
      </c>
      <c r="G213" s="250"/>
      <c r="H213" s="31">
        <f>SUM(H207:H212)</f>
        <v>350.25</v>
      </c>
      <c r="I213" s="32" t="s">
        <v>15</v>
      </c>
      <c r="J213" s="33"/>
      <c r="K213" s="34" t="str">
        <f>""</f>
        <v/>
      </c>
      <c r="L213" s="35"/>
    </row>
    <row r="214" spans="1:12" ht="46.8" x14ac:dyDescent="0.3">
      <c r="A214" s="36"/>
      <c r="B214" s="37"/>
      <c r="C214" s="38"/>
      <c r="D214" s="39"/>
      <c r="E214" s="249" t="s">
        <v>17</v>
      </c>
      <c r="F214" s="249"/>
      <c r="G214" s="249"/>
      <c r="H214" s="40">
        <f>ROUND(H213*0.0929,3)</f>
        <v>32.537999999999997</v>
      </c>
      <c r="I214" s="41" t="s">
        <v>18</v>
      </c>
      <c r="J214" s="42" t="s">
        <v>34</v>
      </c>
      <c r="K214" s="43">
        <f>IF(B204="11.5.3",_xlfn.IFS(J214="Labour rates Amnd",71,J214="Material rates Amnd",42,J214="Through rates Amnd",113,J214="Labour Rate",42,J214="Material Rate",42,J214="Through Rate",84,TRUE,""),"")</f>
        <v>113</v>
      </c>
      <c r="L214" s="44">
        <f>IF(H214*K214&lt;&gt;0,H214*K214,0)</f>
        <v>3676.7939999999994</v>
      </c>
    </row>
    <row r="215" spans="1:12" ht="14.1" customHeight="1" x14ac:dyDescent="0.3">
      <c r="A215" s="45"/>
      <c r="B215" s="46"/>
      <c r="C215" s="47"/>
      <c r="D215" s="48"/>
      <c r="E215" s="48"/>
      <c r="F215" s="49"/>
      <c r="G215" s="48"/>
      <c r="H215" s="49"/>
      <c r="I215" s="50"/>
      <c r="J215" s="51"/>
      <c r="K215" s="52"/>
      <c r="L215" s="53"/>
    </row>
    <row r="216" spans="1:12" ht="39.6" x14ac:dyDescent="0.3">
      <c r="A216" s="7">
        <f>IFERROR(LOOKUP(2,1/(ISNUMBER($A$4:$A$215)),$A$4:$A$215),0)+1</f>
        <v>25</v>
      </c>
      <c r="B216" s="54" t="s">
        <v>100</v>
      </c>
      <c r="C216" s="9" t="s">
        <v>101</v>
      </c>
      <c r="D216" s="10"/>
      <c r="E216" s="11"/>
      <c r="F216" s="12"/>
      <c r="G216" s="11"/>
      <c r="H216" s="12"/>
      <c r="I216" s="13"/>
      <c r="J216" s="14"/>
      <c r="K216" s="15"/>
      <c r="L216" s="16"/>
    </row>
    <row r="217" spans="1:12" s="56" customFormat="1" x14ac:dyDescent="0.3">
      <c r="A217" s="17"/>
      <c r="B217" s="18"/>
      <c r="C217" s="19"/>
      <c r="D217" s="20">
        <v>6</v>
      </c>
      <c r="E217" s="20">
        <v>3</v>
      </c>
      <c r="F217" s="21" t="s">
        <v>99</v>
      </c>
      <c r="G217" s="20">
        <v>9</v>
      </c>
      <c r="H217" s="22">
        <f>D217*IF(OR(E217=0,E217="-"),1,E217)*IF(OR(F217=0,F217="-"),1,F217)*IF(OR(G217=0,G217="-"),1,G217)</f>
        <v>162</v>
      </c>
      <c r="I217" s="23" t="s">
        <v>15</v>
      </c>
      <c r="J217" s="24"/>
      <c r="K217" s="25"/>
      <c r="L217" s="26"/>
    </row>
    <row r="218" spans="1:12" s="56" customFormat="1" x14ac:dyDescent="0.3">
      <c r="A218" s="17"/>
      <c r="B218" s="18"/>
      <c r="C218" s="19"/>
      <c r="D218" s="20">
        <v>4</v>
      </c>
      <c r="E218" s="20">
        <v>4</v>
      </c>
      <c r="F218" s="21" t="s">
        <v>99</v>
      </c>
      <c r="G218" s="20">
        <v>9</v>
      </c>
      <c r="H218" s="22">
        <f>D218*IF(OR(E218=0,E218="-"),1,E218)*IF(OR(F218=0,F218="-"),1,F218)*IF(OR(G218=0,G218="-"),1,G218)</f>
        <v>144</v>
      </c>
      <c r="I218" s="23" t="s">
        <v>15</v>
      </c>
      <c r="J218" s="24"/>
      <c r="K218" s="25"/>
      <c r="L218" s="26"/>
    </row>
    <row r="219" spans="1:12" s="56" customFormat="1" x14ac:dyDescent="0.3">
      <c r="A219" s="17"/>
      <c r="B219" s="18"/>
      <c r="C219" s="19"/>
      <c r="D219" s="20">
        <v>1</v>
      </c>
      <c r="E219" s="20">
        <v>11.25</v>
      </c>
      <c r="F219" s="21"/>
      <c r="G219" s="20">
        <v>6.5</v>
      </c>
      <c r="H219" s="22">
        <f>D219*IF(OR(E219=0,E219="-"),1,E219)*IF(OR(F219=0,F219="-"),1,F219)*IF(OR(G219=0,G219="-"),1,G219)</f>
        <v>73.125</v>
      </c>
      <c r="I219" s="23" t="s">
        <v>15</v>
      </c>
      <c r="J219" s="24"/>
      <c r="K219" s="25"/>
      <c r="L219" s="26"/>
    </row>
    <row r="220" spans="1:12" s="56" customFormat="1" x14ac:dyDescent="0.3">
      <c r="A220" s="17"/>
      <c r="B220" s="18"/>
      <c r="C220" s="19"/>
      <c r="D220" s="20">
        <v>1</v>
      </c>
      <c r="E220" s="21">
        <v>3</v>
      </c>
      <c r="F220" s="21"/>
      <c r="G220" s="20">
        <v>6.5</v>
      </c>
      <c r="H220" s="22">
        <f>D220*IF(OR(E220=0,E220="-"),1,E220)*IF(OR(F220=0,F220="-"),1,F220)*IF(OR(G220=0,G220="-"),1,G220)</f>
        <v>19.5</v>
      </c>
      <c r="I220" s="23" t="s">
        <v>15</v>
      </c>
      <c r="J220" s="24"/>
      <c r="K220" s="25"/>
      <c r="L220" s="26"/>
    </row>
    <row r="221" spans="1:12" s="56" customFormat="1" x14ac:dyDescent="0.3">
      <c r="A221" s="27"/>
      <c r="B221" s="28"/>
      <c r="C221" s="29"/>
      <c r="D221" s="30"/>
      <c r="E221" s="30"/>
      <c r="F221" s="255" t="s">
        <v>16</v>
      </c>
      <c r="G221" s="255"/>
      <c r="H221" s="31">
        <f>SUM(H217:H220)</f>
        <v>398.625</v>
      </c>
      <c r="I221" s="32" t="s">
        <v>15</v>
      </c>
      <c r="J221" s="33"/>
      <c r="K221" s="34" t="str">
        <f>""</f>
        <v/>
      </c>
      <c r="L221" s="35"/>
    </row>
    <row r="222" spans="1:12" ht="46.8" x14ac:dyDescent="0.3">
      <c r="A222" s="36"/>
      <c r="B222" s="37"/>
      <c r="C222" s="38"/>
      <c r="D222" s="39"/>
      <c r="E222" s="249" t="s">
        <v>17</v>
      </c>
      <c r="F222" s="249"/>
      <c r="G222" s="249"/>
      <c r="H222" s="40">
        <f>ROUND(H221*0.0929,3)</f>
        <v>37.031999999999996</v>
      </c>
      <c r="I222" s="41" t="s">
        <v>18</v>
      </c>
      <c r="J222" s="42" t="s">
        <v>34</v>
      </c>
      <c r="K222" s="43">
        <f>IF(B216="11.6.1",_xlfn.IFS(J222="Labour rates Amnd",88,J222="Material rates Amnd",50,J222="Through rates Amnd",138,J222="Labour Rate",52,J222="Material Rate",50,J222="Through Rate",102,TRUE,""),"")</f>
        <v>138</v>
      </c>
      <c r="L222" s="44">
        <f>IF(H222*K222&lt;&gt;0,H222*K222,0)</f>
        <v>5110.4159999999993</v>
      </c>
    </row>
    <row r="223" spans="1:12" s="56" customFormat="1" ht="14.1" customHeight="1" x14ac:dyDescent="0.3">
      <c r="A223" s="45"/>
      <c r="B223" s="46"/>
      <c r="C223" s="47"/>
      <c r="D223" s="48"/>
      <c r="E223" s="48"/>
      <c r="F223" s="49"/>
      <c r="G223" s="48"/>
      <c r="H223" s="49"/>
      <c r="I223" s="50"/>
      <c r="J223" s="51"/>
      <c r="K223" s="52"/>
      <c r="L223" s="53"/>
    </row>
    <row r="224" spans="1:12" s="126" customFormat="1" ht="41.4" x14ac:dyDescent="0.3">
      <c r="A224" s="7">
        <f>IFERROR(LOOKUP(2,1/(ISNUMBER($A$4:$A$223)),$A$4:$A$223),0)+1</f>
        <v>26</v>
      </c>
      <c r="B224" s="8" t="s">
        <v>102</v>
      </c>
      <c r="C224" s="9" t="s">
        <v>103</v>
      </c>
      <c r="D224" s="10"/>
      <c r="E224" s="11"/>
      <c r="F224" s="12"/>
      <c r="G224" s="11"/>
      <c r="H224" s="12"/>
      <c r="I224" s="13"/>
      <c r="J224" s="14"/>
      <c r="K224" s="15"/>
      <c r="L224" s="16"/>
    </row>
    <row r="225" spans="1:12" s="126" customFormat="1" x14ac:dyDescent="0.3">
      <c r="A225" s="17"/>
      <c r="B225" s="18"/>
      <c r="C225" s="19"/>
      <c r="D225" s="20">
        <v>3</v>
      </c>
      <c r="E225" s="20">
        <v>4</v>
      </c>
      <c r="F225" s="21">
        <v>3</v>
      </c>
      <c r="G225" s="20"/>
      <c r="H225" s="22">
        <f>D225*IF(OR(E225=0,E225="-"),1,E225)*IF(OR(F225=0,F225="-"),1,F225)*IF(OR(G225=0,G225="-"),1,G225)</f>
        <v>36</v>
      </c>
      <c r="I225" s="23" t="s">
        <v>15</v>
      </c>
      <c r="J225" s="24"/>
      <c r="K225" s="25"/>
      <c r="L225" s="26"/>
    </row>
    <row r="226" spans="1:12" s="126" customFormat="1" x14ac:dyDescent="0.3">
      <c r="A226" s="17"/>
      <c r="B226" s="18"/>
      <c r="C226" s="19"/>
      <c r="D226" s="20">
        <v>1</v>
      </c>
      <c r="E226" s="20">
        <v>11.25</v>
      </c>
      <c r="F226" s="21">
        <v>3</v>
      </c>
      <c r="G226" s="20"/>
      <c r="H226" s="22">
        <f>D226*IF(OR(E226=0,E226="-"),1,E226)*IF(OR(F226=0,F226="-"),1,F226)*IF(OR(G226=0,G226="-"),1,G226)</f>
        <v>33.75</v>
      </c>
      <c r="I226" s="23" t="s">
        <v>15</v>
      </c>
      <c r="J226" s="24"/>
      <c r="K226" s="25"/>
      <c r="L226" s="26"/>
    </row>
    <row r="227" spans="1:12" s="126" customFormat="1" x14ac:dyDescent="0.3">
      <c r="A227" s="27"/>
      <c r="B227" s="28"/>
      <c r="C227" s="29"/>
      <c r="D227" s="30"/>
      <c r="E227" s="30"/>
      <c r="F227" s="250" t="s">
        <v>16</v>
      </c>
      <c r="G227" s="250"/>
      <c r="H227" s="31">
        <f>SUM(H225:H226)</f>
        <v>69.75</v>
      </c>
      <c r="I227" s="32" t="s">
        <v>15</v>
      </c>
      <c r="J227" s="33"/>
      <c r="K227" s="34" t="str">
        <f>""</f>
        <v/>
      </c>
      <c r="L227" s="35"/>
    </row>
    <row r="228" spans="1:12" s="126" customFormat="1" ht="31.2" x14ac:dyDescent="0.3">
      <c r="A228" s="36"/>
      <c r="B228" s="37"/>
      <c r="C228" s="38"/>
      <c r="D228" s="39"/>
      <c r="E228" s="249" t="s">
        <v>17</v>
      </c>
      <c r="F228" s="249"/>
      <c r="G228" s="249"/>
      <c r="H228" s="40">
        <f>ROUND(H227*0.0929,3)</f>
        <v>6.48</v>
      </c>
      <c r="I228" s="41" t="s">
        <v>18</v>
      </c>
      <c r="J228" s="42" t="s">
        <v>19</v>
      </c>
      <c r="K228" s="43">
        <f>IF(B224="10.8",_xlfn.IFS(J228="Labour Rate",70,J228="Material Rate",112,J228="Through Rate",181,TRUE,""),"")</f>
        <v>181</v>
      </c>
      <c r="L228" s="44">
        <f>IF(H228*K228&lt;&gt;0,H228*K228,0)</f>
        <v>1172.8800000000001</v>
      </c>
    </row>
    <row r="229" spans="1:12" ht="14.1" customHeight="1" x14ac:dyDescent="0.3">
      <c r="A229" s="45"/>
      <c r="B229" s="46"/>
      <c r="C229" s="47"/>
      <c r="D229" s="48"/>
      <c r="E229" s="48"/>
      <c r="F229" s="49"/>
      <c r="G229" s="48"/>
      <c r="H229" s="49"/>
      <c r="I229" s="50"/>
      <c r="J229" s="51"/>
      <c r="K229" s="52"/>
      <c r="L229" s="53"/>
    </row>
    <row r="230" spans="1:12" ht="110.4" x14ac:dyDescent="0.3">
      <c r="A230" s="7">
        <f>IFERROR(LOOKUP(2,1/(ISNUMBER($A$4:$A$229)),$A$4:$A$229),0)+1</f>
        <v>27</v>
      </c>
      <c r="B230" s="8" t="s">
        <v>104</v>
      </c>
      <c r="C230" s="9" t="s">
        <v>105</v>
      </c>
      <c r="D230" s="10"/>
      <c r="E230" s="11"/>
      <c r="F230" s="12"/>
      <c r="G230" s="11"/>
      <c r="H230" s="12"/>
      <c r="I230" s="13"/>
      <c r="J230" s="14"/>
      <c r="K230" s="15"/>
      <c r="L230" s="16"/>
    </row>
    <row r="231" spans="1:12" x14ac:dyDescent="0.3">
      <c r="A231" s="17"/>
      <c r="B231" s="18"/>
      <c r="C231" s="19"/>
      <c r="D231" s="20">
        <v>6</v>
      </c>
      <c r="E231" s="20">
        <v>4</v>
      </c>
      <c r="F231" s="21">
        <v>9</v>
      </c>
      <c r="G231" s="20"/>
      <c r="H231" s="22">
        <f>D231*IF(OR(E231=0,E231="-"),1,E231)*IF(OR(F231=0,F231="-"),1,F231)*IF(OR(G231=0,G231="-"),1,G231)</f>
        <v>216</v>
      </c>
      <c r="I231" s="23" t="s">
        <v>15</v>
      </c>
      <c r="J231" s="24"/>
      <c r="K231" s="25"/>
      <c r="L231" s="26"/>
    </row>
    <row r="232" spans="1:12" x14ac:dyDescent="0.3">
      <c r="A232" s="17"/>
      <c r="B232" s="18"/>
      <c r="C232" s="19"/>
      <c r="D232" s="20">
        <v>6</v>
      </c>
      <c r="E232" s="20">
        <v>3</v>
      </c>
      <c r="F232" s="21">
        <v>9</v>
      </c>
      <c r="G232" s="20"/>
      <c r="H232" s="22">
        <f>D232*IF(OR(E232=0,E232="-"),1,E232)*IF(OR(F232=0,F232="-"),1,F232)*IF(OR(G232=0,G232="-"),1,G232)</f>
        <v>162</v>
      </c>
      <c r="I232" s="23" t="s">
        <v>15</v>
      </c>
      <c r="J232" s="24"/>
      <c r="K232" s="25"/>
      <c r="L232" s="26"/>
    </row>
    <row r="233" spans="1:12" x14ac:dyDescent="0.3">
      <c r="A233" s="17"/>
      <c r="B233" s="18"/>
      <c r="C233" s="19"/>
      <c r="D233" s="20">
        <v>1</v>
      </c>
      <c r="E233" s="20">
        <v>11.25</v>
      </c>
      <c r="F233" s="21">
        <v>9</v>
      </c>
      <c r="G233" s="20"/>
      <c r="H233" s="22">
        <f>D233*IF(OR(E233=0,E233="-"),1,E233)*IF(OR(F233=0,F233="-"),1,F233)*IF(OR(G233=0,G233="-"),1,G233)</f>
        <v>101.25</v>
      </c>
      <c r="I233" s="23" t="s">
        <v>15</v>
      </c>
      <c r="J233" s="24"/>
      <c r="K233" s="25"/>
      <c r="L233" s="26"/>
    </row>
    <row r="234" spans="1:12" x14ac:dyDescent="0.3">
      <c r="A234" s="17"/>
      <c r="B234" s="18"/>
      <c r="C234" s="19" t="s">
        <v>106</v>
      </c>
      <c r="D234" s="20">
        <v>-3</v>
      </c>
      <c r="E234" s="20">
        <v>2.5</v>
      </c>
      <c r="F234" s="21">
        <v>7</v>
      </c>
      <c r="G234" s="20"/>
      <c r="H234" s="22">
        <f>D234*IF(OR(E234=0,E234="-"),1,E234)*IF(OR(F234=0,F234="-"),1,F234)*IF(OR(G234=0,G234="-"),1,G234)</f>
        <v>-52.5</v>
      </c>
      <c r="I234" s="23" t="s">
        <v>15</v>
      </c>
      <c r="J234" s="24"/>
      <c r="K234" s="25"/>
      <c r="L234" s="26"/>
    </row>
    <row r="235" spans="1:12" x14ac:dyDescent="0.3">
      <c r="A235" s="27"/>
      <c r="B235" s="28"/>
      <c r="C235" s="29"/>
      <c r="D235" s="30"/>
      <c r="E235" s="30"/>
      <c r="F235" s="255" t="s">
        <v>16</v>
      </c>
      <c r="G235" s="255"/>
      <c r="H235" s="31">
        <f>SUM(H231:H234)</f>
        <v>426.75</v>
      </c>
      <c r="I235" s="32" t="s">
        <v>15</v>
      </c>
      <c r="J235" s="33"/>
      <c r="K235" s="34" t="str">
        <f>""</f>
        <v/>
      </c>
      <c r="L235" s="35"/>
    </row>
    <row r="236" spans="1:12" ht="31.2" x14ac:dyDescent="0.3">
      <c r="A236" s="36"/>
      <c r="B236" s="37"/>
      <c r="C236" s="38"/>
      <c r="D236" s="39"/>
      <c r="E236" s="249" t="s">
        <v>17</v>
      </c>
      <c r="F236" s="249"/>
      <c r="G236" s="249"/>
      <c r="H236" s="40">
        <f>ROUND(H235*0.0929,3)</f>
        <v>39.645000000000003</v>
      </c>
      <c r="I236" s="41" t="s">
        <v>18</v>
      </c>
      <c r="J236" s="42" t="s">
        <v>19</v>
      </c>
      <c r="K236" s="43">
        <f>IF(B230="10.62",_xlfn.IFS(J236="Labour Rate",210,J236="Material Rate",360,J236="Through Rate",570,TRUE,""),"")</f>
        <v>570</v>
      </c>
      <c r="L236" s="44">
        <f>IF(H236*K236&lt;&gt;0,H236*K236,0)</f>
        <v>22597.65</v>
      </c>
    </row>
    <row r="237" spans="1:12" ht="14.1" customHeight="1" x14ac:dyDescent="0.3">
      <c r="A237" s="45"/>
      <c r="B237" s="46"/>
      <c r="C237" s="47"/>
      <c r="D237" s="48"/>
      <c r="E237" s="48"/>
      <c r="F237" s="49"/>
      <c r="G237" s="48"/>
      <c r="H237" s="49"/>
      <c r="I237" s="50"/>
      <c r="J237" s="51"/>
      <c r="K237" s="52"/>
      <c r="L237" s="53"/>
    </row>
    <row r="238" spans="1:12" ht="108.6" x14ac:dyDescent="0.3">
      <c r="A238" s="7">
        <f>IFERROR(LOOKUP(2,1/(ISNUMBER($A$4:$A$237)),$A$4:$A$237),0)+1</f>
        <v>28</v>
      </c>
      <c r="B238" s="8" t="s">
        <v>107</v>
      </c>
      <c r="C238" s="9" t="s">
        <v>108</v>
      </c>
      <c r="D238" s="127"/>
      <c r="E238" s="128"/>
      <c r="F238" s="129"/>
      <c r="G238" s="128"/>
      <c r="H238" s="130"/>
      <c r="I238" s="131"/>
      <c r="J238" s="132"/>
      <c r="K238" s="133"/>
      <c r="L238" s="134"/>
    </row>
    <row r="239" spans="1:12" x14ac:dyDescent="0.3">
      <c r="A239" s="17"/>
      <c r="B239" s="135"/>
      <c r="C239" s="136"/>
      <c r="D239" s="137">
        <v>3</v>
      </c>
      <c r="E239" s="137">
        <v>3</v>
      </c>
      <c r="F239" s="138">
        <v>4</v>
      </c>
      <c r="G239" s="137"/>
      <c r="H239" s="139">
        <f>D239*IF(OR(E239=0,E239="-"),1,E239)*IF(OR(F239=0,F239="-"),1,F239)*IF(OR(G239=0,G239="-"),1,G239)</f>
        <v>36</v>
      </c>
      <c r="I239" s="140" t="s">
        <v>15</v>
      </c>
      <c r="J239" s="141"/>
      <c r="K239" s="142"/>
      <c r="L239" s="143"/>
    </row>
    <row r="240" spans="1:12" x14ac:dyDescent="0.3">
      <c r="A240" s="17"/>
      <c r="B240" s="135"/>
      <c r="C240" s="136"/>
      <c r="D240" s="137">
        <v>1</v>
      </c>
      <c r="E240" s="137">
        <v>11.25</v>
      </c>
      <c r="F240" s="138">
        <v>3</v>
      </c>
      <c r="G240" s="137"/>
      <c r="H240" s="139">
        <f>D240*IF(OR(E240=0,E240="-"),1,E240)*IF(OR(F240=0,F240="-"),1,F240)*IF(OR(G240=0,G240="-"),1,G240)</f>
        <v>33.75</v>
      </c>
      <c r="I240" s="140" t="s">
        <v>15</v>
      </c>
      <c r="J240" s="141"/>
      <c r="K240" s="142"/>
      <c r="L240" s="143"/>
    </row>
    <row r="241" spans="1:12" x14ac:dyDescent="0.3">
      <c r="A241" s="27"/>
      <c r="B241" s="144"/>
      <c r="C241" s="145"/>
      <c r="D241" s="146"/>
      <c r="E241" s="146"/>
      <c r="F241" s="252" t="s">
        <v>16</v>
      </c>
      <c r="G241" s="252"/>
      <c r="H241" s="147">
        <f>SUM(H239:H240)</f>
        <v>69.75</v>
      </c>
      <c r="I241" s="148" t="s">
        <v>15</v>
      </c>
      <c r="J241" s="149"/>
      <c r="K241" s="150" t="str">
        <f>""</f>
        <v/>
      </c>
      <c r="L241" s="151"/>
    </row>
    <row r="242" spans="1:12" ht="27.6" x14ac:dyDescent="0.3">
      <c r="A242" s="36"/>
      <c r="B242" s="152"/>
      <c r="C242" s="153"/>
      <c r="D242" s="154"/>
      <c r="E242" s="254" t="s">
        <v>17</v>
      </c>
      <c r="F242" s="254"/>
      <c r="G242" s="254"/>
      <c r="H242" s="155">
        <f>ROUND(H241*0.0929,3)</f>
        <v>6.48</v>
      </c>
      <c r="I242" s="156" t="s">
        <v>18</v>
      </c>
      <c r="J242" s="157" t="s">
        <v>19</v>
      </c>
      <c r="K242" s="158">
        <f>IF(B238="10.63.2",_xlfn.IFS(J242="Labour Rate",175,J242="Material Rate",811,J242="Through Rate",987,TRUE,""),"")</f>
        <v>987</v>
      </c>
      <c r="L242" s="159">
        <f>IF(H242*K242&lt;&gt;0,H242*K242,0)</f>
        <v>6395.76</v>
      </c>
    </row>
    <row r="243" spans="1:12" ht="14.1" customHeight="1" x14ac:dyDescent="0.3">
      <c r="A243" s="45"/>
      <c r="B243" s="46"/>
      <c r="C243" s="47"/>
      <c r="D243" s="48"/>
      <c r="E243" s="48"/>
      <c r="F243" s="49"/>
      <c r="G243" s="48"/>
      <c r="H243" s="49"/>
      <c r="I243" s="50"/>
      <c r="J243" s="51"/>
      <c r="K243" s="52"/>
      <c r="L243" s="53"/>
    </row>
    <row r="244" spans="1:12" ht="69" x14ac:dyDescent="0.3">
      <c r="A244" s="7">
        <f>IFERROR(LOOKUP(2,1/(ISNUMBER($A$4:$A$243)),$A$4:$A$243),0)+1</f>
        <v>29</v>
      </c>
      <c r="B244" s="8" t="s">
        <v>109</v>
      </c>
      <c r="C244" s="9" t="s">
        <v>110</v>
      </c>
      <c r="D244" s="10"/>
      <c r="E244" s="11"/>
      <c r="F244" s="12"/>
      <c r="G244" s="11"/>
      <c r="H244" s="12"/>
      <c r="I244" s="13"/>
      <c r="J244" s="14"/>
      <c r="K244" s="15"/>
      <c r="L244" s="16"/>
    </row>
    <row r="245" spans="1:12" x14ac:dyDescent="0.3">
      <c r="A245" s="17"/>
      <c r="B245" s="160"/>
      <c r="C245" s="161" t="s">
        <v>111</v>
      </c>
      <c r="D245" s="162">
        <v>1</v>
      </c>
      <c r="E245" s="163">
        <f>H213</f>
        <v>350.25</v>
      </c>
      <c r="F245" s="164">
        <v>1</v>
      </c>
      <c r="G245" s="164"/>
      <c r="H245" s="22">
        <f>D245*IF(OR(E245=0,E245="-"),1,E245)*IF(OR(F245=0,F245="-"),1,F245)*IF(OR(G245=0,G245="-"),1,G245)</f>
        <v>350.25</v>
      </c>
      <c r="I245" s="23" t="s">
        <v>15</v>
      </c>
      <c r="J245" s="24"/>
      <c r="K245" s="25"/>
      <c r="L245" s="26"/>
    </row>
    <row r="246" spans="1:12" x14ac:dyDescent="0.3">
      <c r="A246" s="27"/>
      <c r="B246" s="28"/>
      <c r="C246" s="165"/>
      <c r="D246" s="30"/>
      <c r="E246" s="30"/>
      <c r="F246" s="250" t="s">
        <v>16</v>
      </c>
      <c r="G246" s="250"/>
      <c r="H246" s="166">
        <f>SUM(H245:H245)</f>
        <v>350.25</v>
      </c>
      <c r="I246" s="32" t="s">
        <v>15</v>
      </c>
      <c r="J246" s="33"/>
      <c r="K246" s="167" t="str">
        <f>""</f>
        <v/>
      </c>
      <c r="L246" s="168"/>
    </row>
    <row r="247" spans="1:12" ht="31.2" x14ac:dyDescent="0.3">
      <c r="A247" s="36"/>
      <c r="B247" s="37"/>
      <c r="C247" s="169"/>
      <c r="D247" s="39"/>
      <c r="E247" s="249" t="s">
        <v>17</v>
      </c>
      <c r="F247" s="249"/>
      <c r="G247" s="249"/>
      <c r="H247" s="170">
        <f>ROUND(H246*0.0929,3)</f>
        <v>32.537999999999997</v>
      </c>
      <c r="I247" s="41" t="s">
        <v>18</v>
      </c>
      <c r="J247" s="42" t="s">
        <v>19</v>
      </c>
      <c r="K247" s="171">
        <f>IF(B244="11.58",_xlfn.IFS(J247="Labour Rate",23,J247="Material Rate",9,J247="Through Rate",32,TRUE,""),"")</f>
        <v>32</v>
      </c>
      <c r="L247" s="172">
        <f>IF(H247*K247&lt;&gt;0,H247*K247,0)</f>
        <v>1041.2159999999999</v>
      </c>
    </row>
    <row r="248" spans="1:12" ht="14.1" customHeight="1" x14ac:dyDescent="0.3">
      <c r="A248" s="45"/>
      <c r="B248" s="46"/>
      <c r="C248" s="173"/>
      <c r="D248" s="48"/>
      <c r="E248" s="48"/>
      <c r="F248" s="49"/>
      <c r="G248" s="48"/>
      <c r="H248" s="174"/>
      <c r="I248" s="175"/>
      <c r="J248" s="51"/>
      <c r="K248" s="176"/>
      <c r="L248" s="177"/>
    </row>
    <row r="249" spans="1:12" ht="53.4" x14ac:dyDescent="0.3">
      <c r="A249" s="7">
        <f>IFERROR(LOOKUP(2,1/(ISNUMBER($A$4:$A$248)),$A$4:$A$248),0)+1</f>
        <v>30</v>
      </c>
      <c r="B249" s="8" t="s">
        <v>112</v>
      </c>
      <c r="C249" s="9" t="s">
        <v>113</v>
      </c>
      <c r="D249" s="10"/>
      <c r="E249" s="11"/>
      <c r="F249" s="12"/>
      <c r="G249" s="11"/>
      <c r="H249" s="12"/>
      <c r="I249" s="13"/>
      <c r="J249" s="14"/>
      <c r="K249" s="15"/>
      <c r="L249" s="16"/>
    </row>
    <row r="250" spans="1:12" x14ac:dyDescent="0.3">
      <c r="A250" s="117"/>
      <c r="B250" s="118"/>
      <c r="C250" s="119"/>
      <c r="D250" s="11"/>
      <c r="E250" s="11"/>
      <c r="F250" s="12"/>
      <c r="G250" s="11"/>
      <c r="H250" s="120"/>
      <c r="I250" s="13"/>
      <c r="J250" s="121"/>
      <c r="K250" s="122"/>
      <c r="L250" s="16"/>
    </row>
    <row r="251" spans="1:12" x14ac:dyDescent="0.3">
      <c r="A251" s="17"/>
      <c r="B251" s="18"/>
      <c r="C251" s="19"/>
      <c r="D251" s="20">
        <v>1</v>
      </c>
      <c r="E251" s="20">
        <v>11.25</v>
      </c>
      <c r="F251" s="21" t="s">
        <v>99</v>
      </c>
      <c r="G251" s="20">
        <v>13</v>
      </c>
      <c r="H251" s="22">
        <f>D251*IF(OR(E251=0,E251="-"),1,E251)*IF(OR(F251=0,F251="-"),1,F251)*IF(OR(G251=0,G251="-"),1,G251)</f>
        <v>146.25</v>
      </c>
      <c r="I251" s="23" t="s">
        <v>15</v>
      </c>
      <c r="J251" s="24"/>
      <c r="K251" s="25"/>
      <c r="L251" s="26"/>
    </row>
    <row r="252" spans="1:12" x14ac:dyDescent="0.3">
      <c r="A252" s="17"/>
      <c r="B252" s="18"/>
      <c r="C252" s="19"/>
      <c r="D252" s="20">
        <v>2</v>
      </c>
      <c r="E252" s="20">
        <v>5.5</v>
      </c>
      <c r="F252" s="21" t="s">
        <v>99</v>
      </c>
      <c r="G252" s="20">
        <v>13</v>
      </c>
      <c r="H252" s="22">
        <f>D252*IF(OR(E252=0,E252="-"),1,E252)*IF(OR(F252=0,F252="-"),1,F252)*IF(OR(G252=0,G252="-"),1,G252)</f>
        <v>143</v>
      </c>
      <c r="I252" s="23" t="s">
        <v>15</v>
      </c>
      <c r="J252" s="24"/>
      <c r="K252" s="25"/>
      <c r="L252" s="26"/>
    </row>
    <row r="253" spans="1:12" x14ac:dyDescent="0.3">
      <c r="A253" s="17"/>
      <c r="B253" s="18"/>
      <c r="C253" s="19"/>
      <c r="D253" s="20">
        <v>1</v>
      </c>
      <c r="E253" s="20">
        <v>11.25</v>
      </c>
      <c r="F253" s="21"/>
      <c r="G253" s="20">
        <v>8</v>
      </c>
      <c r="H253" s="22">
        <f>D253*IF(OR(E253=0,E253="-"),1,E253)*IF(OR(F253=0,F253="-"),1,F253)*IF(OR(G253=0,G253="-"),1,G253)</f>
        <v>90</v>
      </c>
      <c r="I253" s="23" t="s">
        <v>15</v>
      </c>
      <c r="J253" s="24"/>
      <c r="K253" s="25"/>
      <c r="L253" s="26"/>
    </row>
    <row r="254" spans="1:12" x14ac:dyDescent="0.3">
      <c r="A254" s="17"/>
      <c r="B254" s="18"/>
      <c r="C254" s="19"/>
      <c r="D254" s="20">
        <v>1</v>
      </c>
      <c r="E254" s="20">
        <v>3.75</v>
      </c>
      <c r="F254" s="21"/>
      <c r="G254" s="20">
        <v>8</v>
      </c>
      <c r="H254" s="22">
        <f>D254*IF(OR(E254=0,E254="-"),1,E254)*IF(OR(F254=0,F254="-"),1,F254)*IF(OR(G254=0,G254="-"),1,G254)</f>
        <v>30</v>
      </c>
      <c r="I254" s="23" t="s">
        <v>15</v>
      </c>
      <c r="J254" s="24"/>
      <c r="K254" s="25"/>
      <c r="L254" s="26"/>
    </row>
    <row r="255" spans="1:12" x14ac:dyDescent="0.3">
      <c r="A255" s="17"/>
      <c r="B255" s="18"/>
      <c r="C255" s="19"/>
      <c r="D255" s="20">
        <v>1</v>
      </c>
      <c r="E255" s="20">
        <v>3</v>
      </c>
      <c r="F255" s="21"/>
      <c r="G255" s="20">
        <v>6</v>
      </c>
      <c r="H255" s="22">
        <f>D255*IF(OR(E255=0,E255="-"),1,E255)*IF(OR(F255=0,F255="-"),1,F255)*IF(OR(G255=0,G255="-"),1,G255)</f>
        <v>18</v>
      </c>
      <c r="I255" s="23" t="s">
        <v>15</v>
      </c>
      <c r="J255" s="24"/>
      <c r="K255" s="25"/>
      <c r="L255" s="26"/>
    </row>
    <row r="256" spans="1:12" x14ac:dyDescent="0.3">
      <c r="A256" s="27"/>
      <c r="B256" s="28"/>
      <c r="C256" s="29"/>
      <c r="D256" s="30"/>
      <c r="E256" s="30"/>
      <c r="F256" s="250" t="s">
        <v>16</v>
      </c>
      <c r="G256" s="250"/>
      <c r="H256" s="31">
        <f>SUM(H251:H255)</f>
        <v>427.25</v>
      </c>
      <c r="I256" s="32" t="s">
        <v>15</v>
      </c>
      <c r="J256" s="33"/>
      <c r="K256" s="34" t="str">
        <f>""</f>
        <v/>
      </c>
      <c r="L256" s="35"/>
    </row>
    <row r="257" spans="1:12" ht="31.2" x14ac:dyDescent="0.3">
      <c r="A257" s="36"/>
      <c r="B257" s="37"/>
      <c r="C257" s="169"/>
      <c r="D257" s="39"/>
      <c r="E257" s="249" t="s">
        <v>17</v>
      </c>
      <c r="F257" s="249"/>
      <c r="G257" s="249"/>
      <c r="H257" s="40">
        <f>ROUND(H256*0.0929,3)</f>
        <v>39.692</v>
      </c>
      <c r="I257" s="41" t="s">
        <v>18</v>
      </c>
      <c r="J257" s="42" t="s">
        <v>19</v>
      </c>
      <c r="K257" s="43">
        <f>IF(B249="11.93.1",_xlfn.IFS(J257="Labour Rate",25,J257="Material Rate",14,J257="Through Rate",39,TRUE,""),"")</f>
        <v>39</v>
      </c>
      <c r="L257" s="44">
        <f>IF(H257*K257&lt;&gt;0,H257*K257,0)</f>
        <v>1547.9880000000001</v>
      </c>
    </row>
    <row r="258" spans="1:12" ht="14.1" customHeight="1" x14ac:dyDescent="0.3">
      <c r="A258" s="45"/>
      <c r="B258" s="46"/>
      <c r="C258" s="47"/>
      <c r="D258" s="48"/>
      <c r="E258" s="48"/>
      <c r="F258" s="49"/>
      <c r="G258" s="48"/>
      <c r="H258" s="49"/>
      <c r="I258" s="50"/>
      <c r="J258" s="51"/>
      <c r="K258" s="52"/>
      <c r="L258" s="53"/>
    </row>
    <row r="259" spans="1:12" ht="67.2" x14ac:dyDescent="0.3">
      <c r="A259" s="7">
        <f>IFERROR(LOOKUP(2,1/(ISNUMBER($A$4:$A$258)),$A$4:$A$258),0)+1</f>
        <v>31</v>
      </c>
      <c r="B259" s="8" t="s">
        <v>114</v>
      </c>
      <c r="C259" s="9" t="s">
        <v>115</v>
      </c>
      <c r="D259" s="10"/>
      <c r="E259" s="11"/>
      <c r="F259" s="12"/>
      <c r="G259" s="11"/>
      <c r="H259" s="12"/>
      <c r="I259" s="13"/>
      <c r="J259" s="14"/>
      <c r="K259" s="15"/>
      <c r="L259" s="16"/>
    </row>
    <row r="260" spans="1:12" x14ac:dyDescent="0.3">
      <c r="A260" s="17"/>
      <c r="B260" s="18"/>
      <c r="C260" s="107"/>
      <c r="D260" s="20">
        <v>2</v>
      </c>
      <c r="E260" s="20">
        <v>11.25</v>
      </c>
      <c r="F260" s="21"/>
      <c r="G260" s="20"/>
      <c r="H260" s="22">
        <f>D260*IF(OR(E260=0,E260="-"),1,E260)*IF(OR(F260=0,F260="-"),1,F260)*IF(OR(G260=0,G260="-"),1,G260)</f>
        <v>22.5</v>
      </c>
      <c r="I260" s="23" t="s">
        <v>39</v>
      </c>
      <c r="J260" s="24"/>
      <c r="K260" s="25"/>
      <c r="L260" s="26"/>
    </row>
    <row r="261" spans="1:12" x14ac:dyDescent="0.3">
      <c r="A261" s="17"/>
      <c r="B261" s="18"/>
      <c r="C261" s="107"/>
      <c r="D261" s="20">
        <v>2</v>
      </c>
      <c r="E261" s="21">
        <v>7</v>
      </c>
      <c r="F261" s="21"/>
      <c r="G261" s="20"/>
      <c r="H261" s="22">
        <f>D261*IF(OR(E261=0,E261="-"),1,E261)*IF(OR(F261=0,F261="-"),1,F261)*IF(OR(G261=0,G261="-"),1,G261)</f>
        <v>14</v>
      </c>
      <c r="I261" s="23" t="s">
        <v>39</v>
      </c>
      <c r="J261" s="24"/>
      <c r="K261" s="25"/>
      <c r="L261" s="26"/>
    </row>
    <row r="262" spans="1:12" x14ac:dyDescent="0.3">
      <c r="A262" s="27"/>
      <c r="B262" s="28"/>
      <c r="C262" s="165"/>
      <c r="D262" s="30"/>
      <c r="E262" s="30"/>
      <c r="F262" s="250" t="s">
        <v>41</v>
      </c>
      <c r="G262" s="250"/>
      <c r="H262" s="31">
        <f>SUM(H260:H261)</f>
        <v>36.5</v>
      </c>
      <c r="I262" s="32" t="s">
        <v>39</v>
      </c>
      <c r="J262" s="33"/>
      <c r="K262" s="34" t="str">
        <f>""</f>
        <v/>
      </c>
      <c r="L262" s="35"/>
    </row>
    <row r="263" spans="1:12" ht="31.2" x14ac:dyDescent="0.3">
      <c r="A263" s="36"/>
      <c r="B263" s="178"/>
      <c r="C263" s="169"/>
      <c r="D263" s="42"/>
      <c r="E263" s="253" t="s">
        <v>42</v>
      </c>
      <c r="F263" s="253"/>
      <c r="G263" s="253"/>
      <c r="H263" s="170">
        <f>ROUND(H262*0.3048,3)</f>
        <v>11.125</v>
      </c>
      <c r="I263" s="41" t="s">
        <v>70</v>
      </c>
      <c r="J263" s="42" t="s">
        <v>19</v>
      </c>
      <c r="K263" s="171">
        <f>IF(B259="9.17.1",_xlfn.IFS(J263="Labour Rate",76,J263="Material Rate",36,J263="Through Rate",112,TRUE,""),"")</f>
        <v>112</v>
      </c>
      <c r="L263" s="172">
        <f>IF(H263*K263&lt;&gt;0,H263*K263,0)</f>
        <v>1246</v>
      </c>
    </row>
    <row r="264" spans="1:12" ht="14.1" customHeight="1" x14ac:dyDescent="0.3">
      <c r="A264" s="45"/>
      <c r="B264" s="46"/>
      <c r="C264" s="47"/>
      <c r="D264" s="48"/>
      <c r="E264" s="48"/>
      <c r="F264" s="49"/>
      <c r="G264" s="48"/>
      <c r="H264" s="49"/>
      <c r="I264" s="50"/>
      <c r="J264" s="51"/>
      <c r="K264" s="52"/>
      <c r="L264" s="53"/>
    </row>
    <row r="265" spans="1:12" ht="82.8" x14ac:dyDescent="0.3">
      <c r="A265" s="7">
        <f>IFERROR(LOOKUP(2,1/(ISNUMBER($A$4:$A$264)),$A$4:$A$264),0)+1</f>
        <v>32</v>
      </c>
      <c r="B265" s="8" t="s">
        <v>116</v>
      </c>
      <c r="C265" s="9" t="s">
        <v>117</v>
      </c>
      <c r="D265" s="10"/>
      <c r="E265" s="11"/>
      <c r="F265" s="12"/>
      <c r="G265" s="11"/>
      <c r="H265" s="12"/>
      <c r="I265" s="13"/>
      <c r="J265" s="14"/>
      <c r="K265" s="15"/>
      <c r="L265" s="16"/>
    </row>
    <row r="266" spans="1:12" x14ac:dyDescent="0.3">
      <c r="A266" s="17"/>
      <c r="B266" s="18"/>
      <c r="C266" s="19"/>
      <c r="D266" s="20">
        <v>1</v>
      </c>
      <c r="E266" s="20">
        <v>1</v>
      </c>
      <c r="F266" s="21"/>
      <c r="G266" s="20"/>
      <c r="H266" s="22">
        <f>D266*IF(OR(E266=0,E266="-"),1,E266)*IF(OR(F266=0,F266="-"),1,F266)*IF(OR(G266=0,G266="-"),1,G266)</f>
        <v>1</v>
      </c>
      <c r="I266" s="23" t="s">
        <v>4</v>
      </c>
      <c r="J266" s="24"/>
      <c r="K266" s="25"/>
      <c r="L266" s="26"/>
    </row>
    <row r="267" spans="1:12" x14ac:dyDescent="0.3">
      <c r="A267" s="27"/>
      <c r="B267" s="28"/>
      <c r="C267" s="29"/>
      <c r="D267" s="30"/>
      <c r="E267" s="30"/>
      <c r="F267" s="250" t="s">
        <v>118</v>
      </c>
      <c r="G267" s="250"/>
      <c r="H267" s="31">
        <f>SUM(H266:H266)</f>
        <v>1</v>
      </c>
      <c r="I267" s="32" t="s">
        <v>4</v>
      </c>
      <c r="J267" s="33"/>
      <c r="K267" s="34" t="str">
        <f>""</f>
        <v/>
      </c>
      <c r="L267" s="35"/>
    </row>
    <row r="268" spans="1:12" ht="31.2" x14ac:dyDescent="0.3">
      <c r="A268" s="36"/>
      <c r="B268" s="37"/>
      <c r="C268" s="38"/>
      <c r="D268" s="39"/>
      <c r="E268" s="249" t="s">
        <v>119</v>
      </c>
      <c r="F268" s="249"/>
      <c r="G268" s="249"/>
      <c r="H268" s="40">
        <f>ROUND(H267*1,3)</f>
        <v>1</v>
      </c>
      <c r="I268" s="41" t="s">
        <v>120</v>
      </c>
      <c r="J268" s="42" t="s">
        <v>19</v>
      </c>
      <c r="K268" s="43">
        <f>IF(B265="9.18",_xlfn.IFS(J268="Labour Rate",69,J268="Material Rate",79,J268="Through Rate",147,TRUE,""),"")</f>
        <v>147</v>
      </c>
      <c r="L268" s="44">
        <f>IF(H268*K268&lt;&gt;0,H268*K268,0)</f>
        <v>147</v>
      </c>
    </row>
    <row r="269" spans="1:12" ht="14.1" customHeight="1" x14ac:dyDescent="0.3">
      <c r="A269" s="45"/>
      <c r="B269" s="46"/>
      <c r="C269" s="47"/>
      <c r="D269" s="48"/>
      <c r="E269" s="48"/>
      <c r="F269" s="49"/>
      <c r="G269" s="48"/>
      <c r="H269" s="49"/>
      <c r="I269" s="50"/>
      <c r="J269" s="51"/>
      <c r="K269" s="52"/>
      <c r="L269" s="53"/>
    </row>
    <row r="270" spans="1:12" ht="81" x14ac:dyDescent="0.3">
      <c r="A270" s="7">
        <f>IFERROR(LOOKUP(2,1/(ISNUMBER($A$4:$A$269)),$A$4:$A$269),0)+1</f>
        <v>33</v>
      </c>
      <c r="B270" s="8" t="s">
        <v>121</v>
      </c>
      <c r="C270" s="9" t="s">
        <v>122</v>
      </c>
      <c r="D270" s="10"/>
      <c r="E270" s="11"/>
      <c r="F270" s="12"/>
      <c r="G270" s="11"/>
      <c r="H270" s="12"/>
      <c r="I270" s="13"/>
      <c r="J270" s="14"/>
      <c r="K270" s="15"/>
      <c r="L270" s="16"/>
    </row>
    <row r="271" spans="1:12" x14ac:dyDescent="0.3">
      <c r="A271" s="17"/>
      <c r="B271" s="179"/>
      <c r="C271" s="180"/>
      <c r="D271" s="20">
        <v>1</v>
      </c>
      <c r="E271" s="20">
        <v>15</v>
      </c>
      <c r="F271" s="21"/>
      <c r="G271" s="20"/>
      <c r="H271" s="22">
        <f>D271*IF(OR(E271=0,E271="-"),1,E271)*IF(OR(F271=0,F271="-"),1,F271)*IF(OR(G271=0,G271="-"),1,G271)</f>
        <v>15</v>
      </c>
      <c r="I271" s="23" t="s">
        <v>123</v>
      </c>
      <c r="J271" s="24"/>
      <c r="K271" s="25"/>
      <c r="L271" s="26"/>
    </row>
    <row r="272" spans="1:12" x14ac:dyDescent="0.3">
      <c r="A272" s="27"/>
      <c r="B272" s="181"/>
      <c r="C272" s="165"/>
      <c r="D272" s="30"/>
      <c r="E272" s="30"/>
      <c r="F272" s="250" t="s">
        <v>124</v>
      </c>
      <c r="G272" s="250"/>
      <c r="H272" s="31">
        <f>SUM(H271:H271)</f>
        <v>15</v>
      </c>
      <c r="I272" s="32" t="s">
        <v>123</v>
      </c>
      <c r="J272" s="33"/>
      <c r="K272" s="182" t="str">
        <f>""</f>
        <v/>
      </c>
      <c r="L272" s="35"/>
    </row>
    <row r="273" spans="1:12" ht="31.2" x14ac:dyDescent="0.3">
      <c r="A273" s="36"/>
      <c r="B273" s="183"/>
      <c r="C273" s="169"/>
      <c r="D273" s="39"/>
      <c r="E273" s="249" t="s">
        <v>124</v>
      </c>
      <c r="F273" s="249"/>
      <c r="G273" s="249"/>
      <c r="H273" s="40">
        <f>ROUND(H272*1,3)</f>
        <v>15</v>
      </c>
      <c r="I273" s="41" t="s">
        <v>70</v>
      </c>
      <c r="J273" s="42" t="s">
        <v>19</v>
      </c>
      <c r="K273" s="43">
        <f>IF(B270="9.57.2",_xlfn.IFS(J273="Labour Rate",44,J273="Material Rate",156,J273="Through Rate",200,TRUE,""),"")</f>
        <v>200</v>
      </c>
      <c r="L273" s="44">
        <f>IF(H273*K273&lt;&gt;0,H273*K273,0)</f>
        <v>3000</v>
      </c>
    </row>
    <row r="274" spans="1:12" ht="14.1" customHeight="1" x14ac:dyDescent="0.3">
      <c r="A274" s="45"/>
      <c r="B274" s="184"/>
      <c r="C274" s="173"/>
      <c r="D274" s="48"/>
      <c r="E274" s="48"/>
      <c r="F274" s="49"/>
      <c r="G274" s="48"/>
      <c r="H274" s="49"/>
      <c r="I274" s="50"/>
      <c r="J274" s="51"/>
      <c r="K274" s="52"/>
      <c r="L274" s="53"/>
    </row>
    <row r="275" spans="1:12" ht="79.8" x14ac:dyDescent="0.3">
      <c r="A275" s="7">
        <f>IFERROR(LOOKUP(2,1/(ISNUMBER($A$4:$A$274)),$A$4:$A$274),0)+1</f>
        <v>34</v>
      </c>
      <c r="B275" s="8" t="s">
        <v>125</v>
      </c>
      <c r="C275" s="9" t="s">
        <v>126</v>
      </c>
      <c r="D275" s="10"/>
      <c r="E275" s="11"/>
      <c r="F275" s="12"/>
      <c r="G275" s="11"/>
      <c r="H275" s="12"/>
      <c r="I275" s="13"/>
      <c r="J275" s="14"/>
      <c r="K275" s="15"/>
      <c r="L275" s="16"/>
    </row>
    <row r="276" spans="1:12" x14ac:dyDescent="0.3">
      <c r="A276" s="17"/>
      <c r="B276" s="18"/>
      <c r="C276" s="19"/>
      <c r="D276" s="20">
        <v>1</v>
      </c>
      <c r="E276" s="20">
        <v>1</v>
      </c>
      <c r="F276" s="21"/>
      <c r="G276" s="20"/>
      <c r="H276" s="22">
        <f>D276*IF(OR(E276=0,E276="-"),1,E276)*IF(OR(F276=0,F276="-"),1,F276)*IF(OR(G276=0,G276="-"),1,G276)</f>
        <v>1</v>
      </c>
      <c r="I276" s="23" t="s">
        <v>4</v>
      </c>
      <c r="J276" s="24"/>
      <c r="K276" s="185"/>
      <c r="L276" s="26"/>
    </row>
    <row r="277" spans="1:12" x14ac:dyDescent="0.3">
      <c r="A277" s="27"/>
      <c r="B277" s="28"/>
      <c r="C277" s="29"/>
      <c r="D277" s="30"/>
      <c r="E277" s="30"/>
      <c r="F277" s="250" t="s">
        <v>118</v>
      </c>
      <c r="G277" s="250"/>
      <c r="H277" s="186">
        <f>SUM(H276:H276)</f>
        <v>1</v>
      </c>
      <c r="I277" s="32" t="s">
        <v>4</v>
      </c>
      <c r="J277" s="33"/>
      <c r="K277" s="34" t="str">
        <f>""</f>
        <v/>
      </c>
      <c r="L277" s="35"/>
    </row>
    <row r="278" spans="1:12" ht="31.2" x14ac:dyDescent="0.3">
      <c r="A278" s="36"/>
      <c r="B278" s="37"/>
      <c r="C278" s="38"/>
      <c r="D278" s="39"/>
      <c r="E278" s="249" t="s">
        <v>119</v>
      </c>
      <c r="F278" s="249"/>
      <c r="G278" s="249"/>
      <c r="H278" s="187">
        <f>ROUND(H277*1,3)</f>
        <v>1</v>
      </c>
      <c r="I278" s="41" t="s">
        <v>120</v>
      </c>
      <c r="J278" s="42" t="s">
        <v>19</v>
      </c>
      <c r="K278" s="43">
        <f>IF(B275="9.58.5.2",_xlfn.IFS(J278="Labour Rate",8,J278="Material Rate",85,J278="Through Rate",93,TRUE,""),"")</f>
        <v>93</v>
      </c>
      <c r="L278" s="44">
        <f>IF(H278*K278&lt;&gt;0,H278*K278,0)</f>
        <v>93</v>
      </c>
    </row>
    <row r="279" spans="1:12" ht="14.1" customHeight="1" x14ac:dyDescent="0.3">
      <c r="A279" s="45"/>
      <c r="B279" s="46"/>
      <c r="C279" s="47"/>
      <c r="D279" s="48"/>
      <c r="E279" s="48"/>
      <c r="F279" s="49"/>
      <c r="G279" s="48"/>
      <c r="H279" s="188"/>
      <c r="I279" s="50"/>
      <c r="J279" s="51"/>
      <c r="K279" s="52"/>
      <c r="L279" s="53"/>
    </row>
    <row r="280" spans="1:12" ht="94.8" x14ac:dyDescent="0.3">
      <c r="A280" s="7">
        <f>IFERROR(LOOKUP(2,1/(ISNUMBER($A$4:$A$279)),$A$4:$A$279),0)+1</f>
        <v>35</v>
      </c>
      <c r="B280" s="8" t="s">
        <v>127</v>
      </c>
      <c r="C280" s="9" t="s">
        <v>128</v>
      </c>
      <c r="D280" s="10"/>
      <c r="E280" s="11"/>
      <c r="F280" s="12"/>
      <c r="G280" s="11"/>
      <c r="H280" s="189"/>
      <c r="I280" s="13"/>
      <c r="J280" s="14"/>
      <c r="K280" s="15"/>
      <c r="L280" s="16"/>
    </row>
    <row r="281" spans="1:12" x14ac:dyDescent="0.3">
      <c r="A281" s="17"/>
      <c r="B281" s="18"/>
      <c r="C281" s="19"/>
      <c r="D281" s="20">
        <v>1</v>
      </c>
      <c r="E281" s="20">
        <v>1</v>
      </c>
      <c r="F281" s="21"/>
      <c r="G281" s="20"/>
      <c r="H281" s="22">
        <f>D281*IF(OR(E281=0,E281="-"),1,E281)*IF(OR(F281=0,F281="-"),1,F281)*IF(OR(G281=0,G281="-"),1,G281)</f>
        <v>1</v>
      </c>
      <c r="I281" s="23" t="s">
        <v>4</v>
      </c>
      <c r="J281" s="24"/>
      <c r="K281" s="185"/>
      <c r="L281" s="26"/>
    </row>
    <row r="282" spans="1:12" x14ac:dyDescent="0.3">
      <c r="A282" s="27"/>
      <c r="B282" s="28"/>
      <c r="C282" s="29"/>
      <c r="D282" s="30"/>
      <c r="E282" s="30"/>
      <c r="F282" s="250" t="s">
        <v>118</v>
      </c>
      <c r="G282" s="250"/>
      <c r="H282" s="31">
        <f>SUM(H281:H281)</f>
        <v>1</v>
      </c>
      <c r="I282" s="32" t="s">
        <v>4</v>
      </c>
      <c r="J282" s="33"/>
      <c r="K282" s="34" t="str">
        <f>""</f>
        <v/>
      </c>
      <c r="L282" s="35"/>
    </row>
    <row r="283" spans="1:12" ht="31.2" x14ac:dyDescent="0.3">
      <c r="A283" s="36"/>
      <c r="B283" s="37"/>
      <c r="C283" s="38"/>
      <c r="D283" s="39"/>
      <c r="E283" s="249" t="s">
        <v>119</v>
      </c>
      <c r="F283" s="249"/>
      <c r="G283" s="249"/>
      <c r="H283" s="40">
        <f>ROUND(H282*1,3)</f>
        <v>1</v>
      </c>
      <c r="I283" s="41" t="s">
        <v>120</v>
      </c>
      <c r="J283" s="42" t="s">
        <v>19</v>
      </c>
      <c r="K283" s="43">
        <f>IF(B280="9.59.2",_xlfn.IFS(J283="Labour Rate",104,J283="Material Rate",43,J283="Through Rate",147,TRUE,""),"")</f>
        <v>147</v>
      </c>
      <c r="L283" s="44">
        <f>IF(H283*K283&lt;&gt;0,H283*K283,0)</f>
        <v>147</v>
      </c>
    </row>
    <row r="284" spans="1:12" ht="14.1" customHeight="1" x14ac:dyDescent="0.3">
      <c r="A284" s="45"/>
      <c r="B284" s="46"/>
      <c r="C284" s="47"/>
      <c r="D284" s="48"/>
      <c r="E284" s="48"/>
      <c r="F284" s="49"/>
      <c r="G284" s="48"/>
      <c r="H284" s="49"/>
      <c r="I284" s="50"/>
      <c r="J284" s="51"/>
      <c r="K284" s="52"/>
      <c r="L284" s="53"/>
    </row>
    <row r="285" spans="1:12" ht="106.8" x14ac:dyDescent="0.3">
      <c r="A285" s="7">
        <f>IFERROR(LOOKUP(2,1/(ISNUMBER($A$4:$A$284)),$A$4:$A$284),0)+1</f>
        <v>36</v>
      </c>
      <c r="B285" s="8" t="s">
        <v>129</v>
      </c>
      <c r="C285" s="9" t="s">
        <v>130</v>
      </c>
      <c r="D285" s="10"/>
      <c r="E285" s="11"/>
      <c r="F285" s="12"/>
      <c r="G285" s="11"/>
      <c r="H285" s="12"/>
      <c r="I285" s="13"/>
      <c r="J285" s="14"/>
      <c r="K285" s="15"/>
      <c r="L285" s="16"/>
    </row>
    <row r="286" spans="1:12" x14ac:dyDescent="0.3">
      <c r="A286" s="17"/>
      <c r="B286" s="18"/>
      <c r="C286" s="19" t="s">
        <v>62</v>
      </c>
      <c r="D286" s="20">
        <v>3</v>
      </c>
      <c r="E286" s="20">
        <v>2.5</v>
      </c>
      <c r="F286" s="21" t="s">
        <v>99</v>
      </c>
      <c r="G286" s="20">
        <v>7</v>
      </c>
      <c r="H286" s="22">
        <f>D286*IF(OR(E286=0,E286="-"),1,E286)*IF(OR(F286=0,F286="-"),1,F286)*IF(OR(G286=0,G286="-"),1,G286)</f>
        <v>52.5</v>
      </c>
      <c r="I286" s="23" t="s">
        <v>15</v>
      </c>
      <c r="J286" s="24"/>
      <c r="K286" s="25"/>
      <c r="L286" s="26"/>
    </row>
    <row r="287" spans="1:12" x14ac:dyDescent="0.3">
      <c r="A287" s="27"/>
      <c r="B287" s="28"/>
      <c r="C287" s="29"/>
      <c r="D287" s="30"/>
      <c r="E287" s="30"/>
      <c r="F287" s="250" t="s">
        <v>16</v>
      </c>
      <c r="G287" s="250"/>
      <c r="H287" s="31">
        <f>SUM(H286:H286)</f>
        <v>52.5</v>
      </c>
      <c r="I287" s="32" t="s">
        <v>15</v>
      </c>
      <c r="J287" s="33"/>
      <c r="K287" s="34" t="str">
        <f>""</f>
        <v/>
      </c>
      <c r="L287" s="35"/>
    </row>
    <row r="288" spans="1:12" ht="31.2" x14ac:dyDescent="0.3">
      <c r="A288" s="36"/>
      <c r="B288" s="37"/>
      <c r="C288" s="38"/>
      <c r="D288" s="39"/>
      <c r="E288" s="249" t="s">
        <v>17</v>
      </c>
      <c r="F288" s="249"/>
      <c r="G288" s="249"/>
      <c r="H288" s="40">
        <f>ROUND(H287*0.0929,3)</f>
        <v>4.8769999999999998</v>
      </c>
      <c r="I288" s="41" t="s">
        <v>18</v>
      </c>
      <c r="J288" s="42" t="s">
        <v>19</v>
      </c>
      <c r="K288" s="43">
        <f>IF(B285="12.36.1",_xlfn.IFS(J288="Labour Rate",159,J288="Material Rate",2226,J288="Through Rate",2385,TRUE,""),"")</f>
        <v>2385</v>
      </c>
      <c r="L288" s="44">
        <f>IF(H288*K288&lt;&gt;0,H288*K288,0)</f>
        <v>11631.644999999999</v>
      </c>
    </row>
    <row r="289" spans="1:12" ht="14.1" customHeight="1" x14ac:dyDescent="0.3">
      <c r="A289" s="45"/>
      <c r="B289" s="46"/>
      <c r="C289" s="47"/>
      <c r="D289" s="48"/>
      <c r="E289" s="48"/>
      <c r="F289" s="49"/>
      <c r="G289" s="48"/>
      <c r="H289" s="49"/>
      <c r="I289" s="50"/>
      <c r="J289" s="51"/>
      <c r="K289" s="52"/>
      <c r="L289" s="53"/>
    </row>
    <row r="290" spans="1:12" ht="81" x14ac:dyDescent="0.3">
      <c r="A290" s="7">
        <f>IFERROR(LOOKUP(2,1/(ISNUMBER($A$4:$A$289)),$A$4:$A$289),0)+1</f>
        <v>37</v>
      </c>
      <c r="B290" s="8" t="s">
        <v>131</v>
      </c>
      <c r="C290" s="9" t="s">
        <v>132</v>
      </c>
      <c r="D290" s="10"/>
      <c r="E290" s="11"/>
      <c r="F290" s="12"/>
      <c r="G290" s="11"/>
      <c r="H290" s="12"/>
      <c r="I290" s="13"/>
      <c r="J290" s="14"/>
      <c r="K290" s="15"/>
      <c r="L290" s="16"/>
    </row>
    <row r="291" spans="1:12" x14ac:dyDescent="0.3">
      <c r="A291" s="17"/>
      <c r="B291" s="18"/>
      <c r="C291" s="164"/>
      <c r="D291" s="20">
        <v>3</v>
      </c>
      <c r="E291" s="20">
        <v>1</v>
      </c>
      <c r="F291" s="21"/>
      <c r="G291" s="20"/>
      <c r="H291" s="22">
        <f>D291*IF(OR(E291=0,E291="-"),1,E291)*IF(OR(F291=0,F291="-"),1,F291)*IF(OR(G291=0,G291="-"),1,G291)</f>
        <v>3</v>
      </c>
      <c r="I291" s="23" t="s">
        <v>133</v>
      </c>
      <c r="J291" s="24"/>
      <c r="K291" s="25"/>
      <c r="L291" s="26"/>
    </row>
    <row r="292" spans="1:12" x14ac:dyDescent="0.3">
      <c r="A292" s="27"/>
      <c r="B292" s="28"/>
      <c r="C292" s="190"/>
      <c r="D292" s="30"/>
      <c r="E292" s="30"/>
      <c r="F292" s="250" t="s">
        <v>119</v>
      </c>
      <c r="G292" s="250"/>
      <c r="H292" s="31">
        <f>SUM(H291:H291)</f>
        <v>3</v>
      </c>
      <c r="I292" s="32" t="s">
        <v>133</v>
      </c>
      <c r="J292" s="33"/>
      <c r="K292" s="34" t="str">
        <f>""</f>
        <v/>
      </c>
      <c r="L292" s="35"/>
    </row>
    <row r="293" spans="1:12" ht="31.2" x14ac:dyDescent="0.3">
      <c r="A293" s="36"/>
      <c r="B293" s="37"/>
      <c r="C293" s="191"/>
      <c r="D293" s="39"/>
      <c r="E293" s="249" t="s">
        <v>119</v>
      </c>
      <c r="F293" s="249"/>
      <c r="G293" s="249"/>
      <c r="H293" s="40">
        <f>ROUND(H292*1,3)</f>
        <v>3</v>
      </c>
      <c r="I293" s="41" t="s">
        <v>120</v>
      </c>
      <c r="J293" s="42" t="s">
        <v>19</v>
      </c>
      <c r="K293" s="43">
        <f>IF(B290="12.98.2",_xlfn.IFS(J293="Labour Rate",21,J293="Material Rate",157,J293="Through Rate",179,TRUE,""),"")</f>
        <v>179</v>
      </c>
      <c r="L293" s="44">
        <f>IF(H293*K293&lt;&gt;0,H293*K293,0)</f>
        <v>537</v>
      </c>
    </row>
    <row r="294" spans="1:12" ht="14.1" customHeight="1" x14ac:dyDescent="0.3">
      <c r="A294" s="45"/>
      <c r="B294" s="46"/>
      <c r="C294" s="192"/>
      <c r="D294" s="48"/>
      <c r="E294" s="48"/>
      <c r="F294" s="49"/>
      <c r="G294" s="48"/>
      <c r="H294" s="49"/>
      <c r="I294" s="50"/>
      <c r="J294" s="51"/>
      <c r="K294" s="52"/>
      <c r="L294" s="53"/>
    </row>
    <row r="295" spans="1:12" ht="81" x14ac:dyDescent="0.3">
      <c r="A295" s="7">
        <f>IFERROR(LOOKUP(2,1/(ISNUMBER($A$4:$A$294)),$A$4:$A$294),0)+1</f>
        <v>38</v>
      </c>
      <c r="B295" s="8" t="s">
        <v>134</v>
      </c>
      <c r="C295" s="193" t="s">
        <v>135</v>
      </c>
      <c r="D295" s="10"/>
      <c r="E295" s="11"/>
      <c r="F295" s="12"/>
      <c r="G295" s="11"/>
      <c r="H295" s="12"/>
      <c r="I295" s="13"/>
      <c r="J295" s="14"/>
      <c r="K295" s="15"/>
      <c r="L295" s="16"/>
    </row>
    <row r="296" spans="1:12" x14ac:dyDescent="0.3">
      <c r="A296" s="17"/>
      <c r="B296" s="18"/>
      <c r="C296" s="164"/>
      <c r="D296" s="20">
        <v>6</v>
      </c>
      <c r="E296" s="20">
        <v>1</v>
      </c>
      <c r="F296" s="21"/>
      <c r="G296" s="20"/>
      <c r="H296" s="22">
        <f>D296*IF(OR(E296=0,E296="-"),1,E296)*IF(OR(F296=0,F296="-"),1,F296)*IF(OR(G296=0,G296="-"),1,G296)</f>
        <v>6</v>
      </c>
      <c r="I296" s="23" t="s">
        <v>133</v>
      </c>
      <c r="J296" s="24"/>
      <c r="K296" s="25"/>
      <c r="L296" s="26"/>
    </row>
    <row r="297" spans="1:12" x14ac:dyDescent="0.3">
      <c r="A297" s="27"/>
      <c r="B297" s="28"/>
      <c r="C297" s="190"/>
      <c r="D297" s="30"/>
      <c r="E297" s="30"/>
      <c r="F297" s="250" t="s">
        <v>119</v>
      </c>
      <c r="G297" s="250"/>
      <c r="H297" s="31">
        <f>SUM(H296:H296)</f>
        <v>6</v>
      </c>
      <c r="I297" s="32" t="s">
        <v>133</v>
      </c>
      <c r="J297" s="33"/>
      <c r="K297" s="34" t="str">
        <f>""</f>
        <v/>
      </c>
      <c r="L297" s="35"/>
    </row>
    <row r="298" spans="1:12" ht="31.2" x14ac:dyDescent="0.3">
      <c r="A298" s="36"/>
      <c r="B298" s="37"/>
      <c r="C298" s="194"/>
      <c r="D298" s="39"/>
      <c r="E298" s="249" t="s">
        <v>119</v>
      </c>
      <c r="F298" s="249"/>
      <c r="G298" s="249"/>
      <c r="H298" s="40">
        <f>ROUND(H297*1,3)</f>
        <v>6</v>
      </c>
      <c r="I298" s="41" t="s">
        <v>120</v>
      </c>
      <c r="J298" s="42" t="s">
        <v>19</v>
      </c>
      <c r="K298" s="43">
        <f>IF(B295="12.99.4",_xlfn.IFS(J298="Labour Rate",4,J298="Material Rate",58,J298="Through Rate",62,TRUE,""),"")</f>
        <v>62</v>
      </c>
      <c r="L298" s="44">
        <f>IF(H298*K298&lt;&gt;0,H298*K298,0)</f>
        <v>372</v>
      </c>
    </row>
    <row r="299" spans="1:12" ht="14.1" customHeight="1" x14ac:dyDescent="0.3">
      <c r="A299" s="45"/>
      <c r="B299" s="46"/>
      <c r="C299" s="195"/>
      <c r="D299" s="48"/>
      <c r="E299" s="48"/>
      <c r="F299" s="49"/>
      <c r="G299" s="48"/>
      <c r="H299" s="49"/>
      <c r="I299" s="50"/>
      <c r="J299" s="51"/>
      <c r="K299" s="52"/>
      <c r="L299" s="53"/>
    </row>
    <row r="300" spans="1:12" ht="69" x14ac:dyDescent="0.3">
      <c r="A300" s="7">
        <f>IFERROR(LOOKUP(2,1/(ISNUMBER($A$4:$A$299)),$A$4:$A$299),0)+1</f>
        <v>39</v>
      </c>
      <c r="B300" s="8" t="s">
        <v>136</v>
      </c>
      <c r="C300" s="193" t="s">
        <v>137</v>
      </c>
      <c r="D300" s="10"/>
      <c r="E300" s="11"/>
      <c r="F300" s="12"/>
      <c r="G300" s="11"/>
      <c r="H300" s="12"/>
      <c r="I300" s="13"/>
      <c r="J300" s="14"/>
      <c r="K300" s="15"/>
      <c r="L300" s="16"/>
    </row>
    <row r="301" spans="1:12" x14ac:dyDescent="0.3">
      <c r="A301" s="17"/>
      <c r="B301" s="18"/>
      <c r="C301" s="19" t="s">
        <v>62</v>
      </c>
      <c r="D301" s="20">
        <v>3</v>
      </c>
      <c r="E301" s="20">
        <v>2.5</v>
      </c>
      <c r="F301" s="21"/>
      <c r="G301" s="20">
        <v>7</v>
      </c>
      <c r="H301" s="22">
        <f>D301*IF(OR(E301=0,E301="-"),1,E301)*IF(OR(F301=0,F301="-"),1,F301)*IF(OR(G301=0,G301="-"),1,G301)</f>
        <v>52.5</v>
      </c>
      <c r="I301" s="23" t="s">
        <v>15</v>
      </c>
      <c r="J301" s="24"/>
      <c r="K301" s="25"/>
      <c r="L301" s="26"/>
    </row>
    <row r="302" spans="1:12" x14ac:dyDescent="0.3">
      <c r="A302" s="27"/>
      <c r="B302" s="28"/>
      <c r="C302" s="190"/>
      <c r="D302" s="30"/>
      <c r="E302" s="30"/>
      <c r="F302" s="250" t="s">
        <v>16</v>
      </c>
      <c r="G302" s="250"/>
      <c r="H302" s="31">
        <f>SUM(H301:H301)</f>
        <v>52.5</v>
      </c>
      <c r="I302" s="32" t="s">
        <v>15</v>
      </c>
      <c r="J302" s="33"/>
      <c r="K302" s="34" t="str">
        <f>""</f>
        <v/>
      </c>
      <c r="L302" s="35"/>
    </row>
    <row r="303" spans="1:12" ht="31.2" x14ac:dyDescent="0.3">
      <c r="A303" s="36"/>
      <c r="B303" s="37"/>
      <c r="C303" s="191"/>
      <c r="D303" s="39"/>
      <c r="E303" s="249" t="s">
        <v>17</v>
      </c>
      <c r="F303" s="249"/>
      <c r="G303" s="249"/>
      <c r="H303" s="40">
        <f>ROUND(H302*0.0929,3)</f>
        <v>4.8769999999999998</v>
      </c>
      <c r="I303" s="41" t="s">
        <v>18</v>
      </c>
      <c r="J303" s="42" t="s">
        <v>19</v>
      </c>
      <c r="K303" s="43">
        <f>IF(B300="11.76",_xlfn.IFS(J303="Labour Rate",15,J303="Material Rate",21,J303="Through Rate",37,TRUE,""),"")</f>
        <v>37</v>
      </c>
      <c r="L303" s="44">
        <f>IF(H303*K303&lt;&gt;0,H303*K303,0)</f>
        <v>180.44899999999998</v>
      </c>
    </row>
    <row r="304" spans="1:12" ht="14.1" customHeight="1" x14ac:dyDescent="0.3">
      <c r="A304" s="45"/>
      <c r="B304" s="46"/>
      <c r="C304" s="192"/>
      <c r="D304" s="48"/>
      <c r="E304" s="48"/>
      <c r="F304" s="49"/>
      <c r="G304" s="48"/>
      <c r="H304" s="49"/>
      <c r="I304" s="50"/>
      <c r="J304" s="51"/>
      <c r="K304" s="52"/>
      <c r="L304" s="53"/>
    </row>
    <row r="305" spans="1:12" x14ac:dyDescent="0.3">
      <c r="A305" s="17"/>
      <c r="B305" s="18"/>
      <c r="C305" s="196" t="s">
        <v>138</v>
      </c>
      <c r="D305" s="20">
        <v>2</v>
      </c>
      <c r="E305" s="20">
        <v>1.6</v>
      </c>
      <c r="F305" s="21"/>
      <c r="G305" s="197">
        <f>H302</f>
        <v>52.5</v>
      </c>
      <c r="H305" s="22">
        <f>D305*IF(OR(E305=0,E305="-"),1,E305)*IF(OR(F305=0,F305="-"),1,F305)*IF(OR(G305=0,G305="-"),1,G305)</f>
        <v>168</v>
      </c>
      <c r="I305" s="23" t="s">
        <v>15</v>
      </c>
      <c r="J305" s="24"/>
      <c r="K305" s="25"/>
      <c r="L305" s="26"/>
    </row>
    <row r="306" spans="1:12" x14ac:dyDescent="0.3">
      <c r="A306" s="27"/>
      <c r="B306" s="28"/>
      <c r="C306" s="190"/>
      <c r="D306" s="30"/>
      <c r="E306" s="30"/>
      <c r="F306" s="250" t="s">
        <v>16</v>
      </c>
      <c r="G306" s="250"/>
      <c r="H306" s="31">
        <f>SUM(H305:H305)</f>
        <v>168</v>
      </c>
      <c r="I306" s="32" t="s">
        <v>15</v>
      </c>
      <c r="J306" s="33"/>
      <c r="K306" s="34" t="str">
        <f>""</f>
        <v/>
      </c>
      <c r="L306" s="35"/>
    </row>
    <row r="307" spans="1:12" ht="31.2" x14ac:dyDescent="0.3">
      <c r="A307" s="36"/>
      <c r="B307" s="37"/>
      <c r="C307" s="194"/>
      <c r="D307" s="39"/>
      <c r="E307" s="249" t="s">
        <v>17</v>
      </c>
      <c r="F307" s="249"/>
      <c r="G307" s="249"/>
      <c r="H307" s="40">
        <f>ROUND(H306*0.0929,3)</f>
        <v>15.606999999999999</v>
      </c>
      <c r="I307" s="41" t="s">
        <v>18</v>
      </c>
      <c r="J307" s="42" t="s">
        <v>19</v>
      </c>
      <c r="K307" s="43">
        <f>IF(B300="11.76",_xlfn.IFS(J307="Labour Rate",15,J307="Material Rate",21,J307="Through Rate",37,TRUE,""),"")</f>
        <v>37</v>
      </c>
      <c r="L307" s="44">
        <f>IF(H307*K307&lt;&gt;0,H307*K307,0)</f>
        <v>577.45899999999995</v>
      </c>
    </row>
    <row r="308" spans="1:12" ht="14.1" customHeight="1" x14ac:dyDescent="0.3">
      <c r="A308" s="45"/>
      <c r="B308" s="46"/>
      <c r="C308" s="195"/>
      <c r="D308" s="48"/>
      <c r="E308" s="48"/>
      <c r="F308" s="49"/>
      <c r="G308" s="48"/>
      <c r="H308" s="49"/>
      <c r="I308" s="50"/>
      <c r="J308" s="51"/>
      <c r="K308" s="52"/>
      <c r="L308" s="53"/>
    </row>
    <row r="309" spans="1:12" ht="41.4" x14ac:dyDescent="0.3">
      <c r="A309" s="7">
        <f>IFERROR(LOOKUP(2,1/(ISNUMBER($A$4:$A$308)),$A$4:$A$308),0)+1</f>
        <v>40</v>
      </c>
      <c r="B309" s="8" t="s">
        <v>139</v>
      </c>
      <c r="C309" s="193" t="s">
        <v>140</v>
      </c>
      <c r="D309" s="10"/>
      <c r="E309" s="11"/>
      <c r="F309" s="12"/>
      <c r="G309" s="11"/>
      <c r="H309" s="12"/>
      <c r="I309" s="13"/>
      <c r="J309" s="14"/>
      <c r="K309" s="15"/>
      <c r="L309" s="16"/>
    </row>
    <row r="310" spans="1:12" x14ac:dyDescent="0.3">
      <c r="A310" s="17"/>
      <c r="B310" s="18"/>
      <c r="C310" s="196" t="s">
        <v>141</v>
      </c>
      <c r="D310" s="20">
        <v>1</v>
      </c>
      <c r="E310" s="21">
        <f>H306</f>
        <v>168</v>
      </c>
      <c r="F310" s="21">
        <v>1</v>
      </c>
      <c r="G310" s="20"/>
      <c r="H310" s="22">
        <f>D310*IF(OR(E310=0,E310="-"),1,E310)*IF(OR(F310=0,F310="-"),1,F310)*IF(OR(G310=0,G310="-"),1,G310)</f>
        <v>168</v>
      </c>
      <c r="I310" s="23" t="s">
        <v>15</v>
      </c>
      <c r="J310" s="24"/>
      <c r="K310" s="25"/>
      <c r="L310" s="26"/>
    </row>
    <row r="311" spans="1:12" x14ac:dyDescent="0.3">
      <c r="A311" s="27"/>
      <c r="B311" s="28"/>
      <c r="C311" s="198"/>
      <c r="D311" s="30"/>
      <c r="E311" s="30"/>
      <c r="F311" s="250" t="s">
        <v>16</v>
      </c>
      <c r="G311" s="250"/>
      <c r="H311" s="31">
        <f>SUM(H310:H310)</f>
        <v>168</v>
      </c>
      <c r="I311" s="32" t="s">
        <v>15</v>
      </c>
      <c r="J311" s="33"/>
      <c r="K311" s="34" t="str">
        <f>""</f>
        <v/>
      </c>
      <c r="L311" s="35"/>
    </row>
    <row r="312" spans="1:12" ht="31.2" x14ac:dyDescent="0.3">
      <c r="A312" s="36"/>
      <c r="B312" s="37"/>
      <c r="C312" s="194"/>
      <c r="D312" s="39"/>
      <c r="E312" s="249" t="s">
        <v>17</v>
      </c>
      <c r="F312" s="249"/>
      <c r="G312" s="249"/>
      <c r="H312" s="40">
        <f>ROUND(H311*0.0929,3)</f>
        <v>15.606999999999999</v>
      </c>
      <c r="I312" s="41" t="s">
        <v>18</v>
      </c>
      <c r="J312" s="42" t="s">
        <v>19</v>
      </c>
      <c r="K312" s="43">
        <f>IF(B309="11.77",_xlfn.IFS(J312="Labour Rate",11,J312="Material Rate",8,J312="Through Rate",19,TRUE,""),"")</f>
        <v>19</v>
      </c>
      <c r="L312" s="44">
        <f>IF(H312*K312&lt;&gt;0,H312*K312,0)</f>
        <v>296.53300000000002</v>
      </c>
    </row>
    <row r="313" spans="1:12" ht="14.1" customHeight="1" x14ac:dyDescent="0.3">
      <c r="A313" s="45"/>
      <c r="B313" s="46"/>
      <c r="C313" s="195"/>
      <c r="D313" s="48"/>
      <c r="E313" s="48"/>
      <c r="F313" s="49"/>
      <c r="G313" s="48"/>
      <c r="H313" s="49"/>
      <c r="I313" s="50"/>
      <c r="J313" s="51"/>
      <c r="K313" s="52"/>
      <c r="L313" s="53"/>
    </row>
    <row r="314" spans="1:12" ht="55.2" x14ac:dyDescent="0.3">
      <c r="A314" s="7">
        <f>IFERROR(LOOKUP(2,1/(ISNUMBER($A$4:$A$313)),$A$4:$A$313),0)+1</f>
        <v>41</v>
      </c>
      <c r="B314" s="8" t="s">
        <v>142</v>
      </c>
      <c r="C314" s="193" t="s">
        <v>143</v>
      </c>
      <c r="D314" s="10"/>
      <c r="E314" s="11"/>
      <c r="F314" s="12"/>
      <c r="G314" s="11"/>
      <c r="H314" s="12"/>
      <c r="I314" s="13"/>
      <c r="J314" s="14"/>
      <c r="K314" s="15"/>
      <c r="L314" s="16"/>
    </row>
    <row r="315" spans="1:12" x14ac:dyDescent="0.3">
      <c r="A315" s="17"/>
      <c r="B315" s="18"/>
      <c r="C315" s="196" t="s">
        <v>144</v>
      </c>
      <c r="D315" s="20">
        <v>1</v>
      </c>
      <c r="E315" s="21">
        <f>E310</f>
        <v>168</v>
      </c>
      <c r="F315" s="21">
        <v>1</v>
      </c>
      <c r="G315" s="20"/>
      <c r="H315" s="22">
        <f>D315*IF(OR(E315=0,E315="-"),1,E315)*IF(OR(F315=0,F315="-"),1,F315)*IF(OR(G315=0,G315="-"),1,G315)</f>
        <v>168</v>
      </c>
      <c r="I315" s="23" t="s">
        <v>15</v>
      </c>
      <c r="J315" s="24"/>
      <c r="K315" s="25"/>
      <c r="L315" s="26"/>
    </row>
    <row r="316" spans="1:12" x14ac:dyDescent="0.3">
      <c r="A316" s="27"/>
      <c r="B316" s="28"/>
      <c r="C316" s="198"/>
      <c r="D316" s="30"/>
      <c r="E316" s="30"/>
      <c r="F316" s="250" t="s">
        <v>16</v>
      </c>
      <c r="G316" s="250"/>
      <c r="H316" s="31">
        <f>SUM(H315:H315)</f>
        <v>168</v>
      </c>
      <c r="I316" s="32" t="s">
        <v>15</v>
      </c>
      <c r="J316" s="33"/>
      <c r="K316" s="34" t="str">
        <f>""</f>
        <v/>
      </c>
      <c r="L316" s="35"/>
    </row>
    <row r="317" spans="1:12" ht="31.2" x14ac:dyDescent="0.3">
      <c r="A317" s="36"/>
      <c r="B317" s="37"/>
      <c r="C317" s="194"/>
      <c r="D317" s="39"/>
      <c r="E317" s="249" t="s">
        <v>17</v>
      </c>
      <c r="F317" s="249"/>
      <c r="G317" s="249"/>
      <c r="H317" s="40">
        <f>ROUND(H316*0.0929,3)</f>
        <v>15.606999999999999</v>
      </c>
      <c r="I317" s="41" t="s">
        <v>18</v>
      </c>
      <c r="J317" s="42" t="s">
        <v>19</v>
      </c>
      <c r="K317" s="43">
        <f>IF(B314="11.78",_xlfn.IFS(J317="Labour Rate",20,J317="Material Rate",12,J317="Through Rate",31,TRUE,""),"")</f>
        <v>31</v>
      </c>
      <c r="L317" s="44">
        <f>IF(H317*K317&lt;&gt;0,H317*K317,0)</f>
        <v>483.81700000000001</v>
      </c>
    </row>
    <row r="318" spans="1:12" ht="14.1" customHeight="1" x14ac:dyDescent="0.3">
      <c r="A318" s="45"/>
      <c r="B318" s="46"/>
      <c r="C318" s="195"/>
      <c r="D318" s="48"/>
      <c r="E318" s="48"/>
      <c r="F318" s="49"/>
      <c r="G318" s="48"/>
      <c r="H318" s="49"/>
      <c r="I318" s="50"/>
      <c r="J318" s="51"/>
      <c r="K318" s="52"/>
      <c r="L318" s="53"/>
    </row>
    <row r="319" spans="1:12" ht="93" x14ac:dyDescent="0.3">
      <c r="A319" s="7">
        <f>IFERROR(LOOKUP(2,1/(ISNUMBER($A$4:$A$318)),$A$4:$A$318),0)+1</f>
        <v>42</v>
      </c>
      <c r="B319" s="8" t="s">
        <v>145</v>
      </c>
      <c r="C319" s="9" t="s">
        <v>146</v>
      </c>
      <c r="D319" s="199"/>
      <c r="E319" s="200"/>
      <c r="F319" s="201"/>
      <c r="G319" s="200"/>
      <c r="H319" s="202"/>
      <c r="I319" s="203"/>
      <c r="J319" s="204"/>
      <c r="K319" s="205"/>
      <c r="L319" s="206"/>
    </row>
    <row r="320" spans="1:12" x14ac:dyDescent="0.3">
      <c r="A320" s="17"/>
      <c r="B320" s="135"/>
      <c r="C320" s="136"/>
      <c r="D320" s="207">
        <v>1</v>
      </c>
      <c r="E320" s="207">
        <v>1</v>
      </c>
      <c r="F320" s="208"/>
      <c r="G320" s="207"/>
      <c r="H320" s="139">
        <f>D320*IF(OR(E320=0,E320="-"),1,E320)*IF(OR(F320=0,F320="-"),1,F320)*IF(OR(G320=0,G320="-"),1,G320)</f>
        <v>1</v>
      </c>
      <c r="I320" s="209" t="s">
        <v>4</v>
      </c>
      <c r="J320" s="210"/>
      <c r="K320" s="211"/>
      <c r="L320" s="212"/>
    </row>
    <row r="321" spans="1:12" x14ac:dyDescent="0.3">
      <c r="A321" s="27"/>
      <c r="B321" s="28"/>
      <c r="C321" s="198"/>
      <c r="D321" s="30"/>
      <c r="E321" s="30"/>
      <c r="F321" s="250" t="s">
        <v>118</v>
      </c>
      <c r="G321" s="250"/>
      <c r="H321" s="31">
        <f>SUM(H320:H320)</f>
        <v>1</v>
      </c>
      <c r="I321" s="32" t="s">
        <v>4</v>
      </c>
      <c r="J321" s="33"/>
      <c r="K321" s="34" t="str">
        <f>""</f>
        <v/>
      </c>
      <c r="L321" s="35"/>
    </row>
    <row r="322" spans="1:12" ht="31.2" x14ac:dyDescent="0.3">
      <c r="A322" s="36"/>
      <c r="B322" s="37"/>
      <c r="C322" s="194"/>
      <c r="D322" s="39"/>
      <c r="E322" s="249" t="s">
        <v>119</v>
      </c>
      <c r="F322" s="249"/>
      <c r="G322" s="249"/>
      <c r="H322" s="40">
        <f>ROUND(H321*1,3)</f>
        <v>1</v>
      </c>
      <c r="I322" s="41" t="s">
        <v>120</v>
      </c>
      <c r="J322" s="42" t="s">
        <v>19</v>
      </c>
      <c r="K322" s="43">
        <f>IF(B319="22.1.3",_xlfn.IFS(J322="Labour Rate",458,J322="Material Rate",1360,J322="Through Rate",1818,TRUE,""),"")</f>
        <v>1818</v>
      </c>
      <c r="L322" s="44">
        <f>IF(H322*K322&lt;&gt;0,H322*K322,0)</f>
        <v>1818</v>
      </c>
    </row>
    <row r="323" spans="1:12" ht="14.1" customHeight="1" x14ac:dyDescent="0.3">
      <c r="A323" s="45"/>
      <c r="B323" s="46"/>
      <c r="C323" s="195"/>
      <c r="D323" s="48"/>
      <c r="E323" s="48"/>
      <c r="F323" s="49"/>
      <c r="G323" s="48"/>
      <c r="H323" s="49"/>
      <c r="I323" s="50"/>
      <c r="J323" s="51"/>
      <c r="K323" s="52"/>
      <c r="L323" s="53"/>
    </row>
    <row r="324" spans="1:12" ht="120.6" x14ac:dyDescent="0.3">
      <c r="A324" s="7">
        <f>IFERROR(LOOKUP(2,1/(ISNUMBER($A$4:$A$323)),$A$4:$A$323),0)+1</f>
        <v>43</v>
      </c>
      <c r="B324" s="8" t="s">
        <v>147</v>
      </c>
      <c r="C324" s="9" t="s">
        <v>148</v>
      </c>
      <c r="D324" s="199"/>
      <c r="E324" s="200"/>
      <c r="F324" s="201"/>
      <c r="G324" s="200"/>
      <c r="H324" s="202"/>
      <c r="I324" s="203"/>
      <c r="J324" s="204"/>
      <c r="K324" s="205"/>
      <c r="L324" s="206"/>
    </row>
    <row r="325" spans="1:12" x14ac:dyDescent="0.3">
      <c r="A325" s="17"/>
      <c r="B325" s="135"/>
      <c r="C325" s="136"/>
      <c r="D325" s="207">
        <v>2</v>
      </c>
      <c r="E325" s="207">
        <v>1</v>
      </c>
      <c r="F325" s="208"/>
      <c r="G325" s="207"/>
      <c r="H325" s="139">
        <f>D325*IF(OR(E325=0,E325="-"),1,E325)*IF(OR(F325=0,F325="-"),1,F325)*IF(OR(G325=0,G325="-"),1,G325)</f>
        <v>2</v>
      </c>
      <c r="I325" s="209" t="s">
        <v>4</v>
      </c>
      <c r="J325" s="210"/>
      <c r="K325" s="211"/>
      <c r="L325" s="212"/>
    </row>
    <row r="326" spans="1:12" x14ac:dyDescent="0.3">
      <c r="A326" s="27"/>
      <c r="B326" s="28"/>
      <c r="C326" s="198"/>
      <c r="D326" s="30"/>
      <c r="E326" s="30"/>
      <c r="F326" s="250" t="s">
        <v>118</v>
      </c>
      <c r="G326" s="250"/>
      <c r="H326" s="31">
        <f>SUM(H325:H325)</f>
        <v>2</v>
      </c>
      <c r="I326" s="32" t="s">
        <v>4</v>
      </c>
      <c r="J326" s="33"/>
      <c r="K326" s="34" t="str">
        <f>""</f>
        <v/>
      </c>
      <c r="L326" s="35"/>
    </row>
    <row r="327" spans="1:12" ht="31.2" x14ac:dyDescent="0.3">
      <c r="A327" s="36"/>
      <c r="B327" s="37"/>
      <c r="C327" s="194"/>
      <c r="D327" s="39"/>
      <c r="E327" s="249" t="s">
        <v>119</v>
      </c>
      <c r="F327" s="249"/>
      <c r="G327" s="249"/>
      <c r="H327" s="40">
        <f>ROUND(H326*1,3)</f>
        <v>2</v>
      </c>
      <c r="I327" s="41" t="s">
        <v>120</v>
      </c>
      <c r="J327" s="42" t="s">
        <v>19</v>
      </c>
      <c r="K327" s="43">
        <f>IF(B324="22.22.1",_xlfn.IFS(J327="Labour Rate",1022,J327="Material Rate",2471,J327="Through Rate",3493,TRUE,""),"")</f>
        <v>3493</v>
      </c>
      <c r="L327" s="44">
        <f>IF(H327*K327&lt;&gt;0,H327*K327,0)</f>
        <v>6986</v>
      </c>
    </row>
    <row r="328" spans="1:12" ht="14.1" customHeight="1" x14ac:dyDescent="0.3">
      <c r="A328" s="45"/>
      <c r="B328" s="46"/>
      <c r="C328" s="195"/>
      <c r="D328" s="48"/>
      <c r="E328" s="48"/>
      <c r="F328" s="49"/>
      <c r="G328" s="48"/>
      <c r="H328" s="49"/>
      <c r="I328" s="50"/>
      <c r="J328" s="51"/>
      <c r="K328" s="52"/>
      <c r="L328" s="53"/>
    </row>
    <row r="329" spans="1:12" ht="122.4" x14ac:dyDescent="0.3">
      <c r="A329" s="7">
        <f>IFERROR(LOOKUP(2,1/(ISNUMBER($A$4:$A$328)),$A$4:$A$328),0)+1</f>
        <v>44</v>
      </c>
      <c r="B329" s="8" t="s">
        <v>149</v>
      </c>
      <c r="C329" s="9" t="s">
        <v>150</v>
      </c>
      <c r="D329" s="199"/>
      <c r="E329" s="200"/>
      <c r="F329" s="201"/>
      <c r="G329" s="200"/>
      <c r="H329" s="202"/>
      <c r="I329" s="203"/>
      <c r="J329" s="204"/>
      <c r="K329" s="205"/>
      <c r="L329" s="206"/>
    </row>
    <row r="330" spans="1:12" x14ac:dyDescent="0.3">
      <c r="A330" s="17"/>
      <c r="B330" s="135"/>
      <c r="C330" s="136"/>
      <c r="D330" s="207">
        <v>1</v>
      </c>
      <c r="E330" s="207">
        <v>1</v>
      </c>
      <c r="F330" s="208"/>
      <c r="G330" s="207"/>
      <c r="H330" s="139">
        <f>D330*IF(OR(E330=0,E330="-"),1,E330)*IF(OR(F330=0,F330="-"),1,F330)*IF(OR(G330=0,G330="-"),1,G330)</f>
        <v>1</v>
      </c>
      <c r="I330" s="209" t="s">
        <v>4</v>
      </c>
      <c r="J330" s="210"/>
      <c r="K330" s="211"/>
      <c r="L330" s="212"/>
    </row>
    <row r="331" spans="1:12" x14ac:dyDescent="0.3">
      <c r="A331" s="27"/>
      <c r="B331" s="28"/>
      <c r="C331" s="198"/>
      <c r="D331" s="30"/>
      <c r="E331" s="30"/>
      <c r="F331" s="250" t="s">
        <v>118</v>
      </c>
      <c r="G331" s="250"/>
      <c r="H331" s="31">
        <f>SUM(H330:H330)</f>
        <v>1</v>
      </c>
      <c r="I331" s="32" t="s">
        <v>4</v>
      </c>
      <c r="J331" s="33"/>
      <c r="K331" s="34" t="str">
        <f>""</f>
        <v/>
      </c>
      <c r="L331" s="35"/>
    </row>
    <row r="332" spans="1:12" ht="31.2" x14ac:dyDescent="0.3">
      <c r="A332" s="36"/>
      <c r="B332" s="37"/>
      <c r="C332" s="194"/>
      <c r="D332" s="39"/>
      <c r="E332" s="249" t="s">
        <v>119</v>
      </c>
      <c r="F332" s="249"/>
      <c r="G332" s="249"/>
      <c r="H332" s="40">
        <f>ROUND(H331*1,3)</f>
        <v>1</v>
      </c>
      <c r="I332" s="41" t="s">
        <v>120</v>
      </c>
      <c r="J332" s="42" t="s">
        <v>19</v>
      </c>
      <c r="K332" s="43">
        <f>IF(B329="22.24.1",_xlfn.IFS(J332="Labour Rate",1178,J332="Material Rate",3209,J332="Through Rate",4386,TRUE,""),"")</f>
        <v>4386</v>
      </c>
      <c r="L332" s="44">
        <f>IF(H332*K332&lt;&gt;0,H332*K332,0)</f>
        <v>4386</v>
      </c>
    </row>
    <row r="333" spans="1:12" ht="14.1" customHeight="1" x14ac:dyDescent="0.3">
      <c r="A333" s="45"/>
      <c r="B333" s="46"/>
      <c r="C333" s="195"/>
      <c r="D333" s="48"/>
      <c r="E333" s="48"/>
      <c r="F333" s="49"/>
      <c r="G333" s="48"/>
      <c r="H333" s="49"/>
      <c r="I333" s="50"/>
      <c r="J333" s="51"/>
      <c r="K333" s="52"/>
      <c r="L333" s="53"/>
    </row>
    <row r="334" spans="1:12" ht="55.2" x14ac:dyDescent="0.3">
      <c r="A334" s="7">
        <f>IFERROR(LOOKUP(2,1/(ISNUMBER($A$4:$A$333)),$A$4:$A$333),0)+1</f>
        <v>45</v>
      </c>
      <c r="B334" s="8" t="s">
        <v>151</v>
      </c>
      <c r="C334" s="9" t="s">
        <v>152</v>
      </c>
      <c r="D334" s="199"/>
      <c r="E334" s="200"/>
      <c r="F334" s="201"/>
      <c r="G334" s="200"/>
      <c r="H334" s="202"/>
      <c r="I334" s="203"/>
      <c r="J334" s="204"/>
      <c r="K334" s="205"/>
      <c r="L334" s="206"/>
    </row>
    <row r="335" spans="1:12" x14ac:dyDescent="0.3">
      <c r="A335" s="17"/>
      <c r="B335" s="135"/>
      <c r="C335" s="136"/>
      <c r="D335" s="207">
        <v>1</v>
      </c>
      <c r="E335" s="207">
        <v>1</v>
      </c>
      <c r="F335" s="208"/>
      <c r="G335" s="207"/>
      <c r="H335" s="139">
        <f>D335*IF(OR(E335=0,E335="-"),1,E335)*IF(OR(F335=0,F335="-"),1,F335)*IF(OR(G335=0,G335="-"),1,G335)</f>
        <v>1</v>
      </c>
      <c r="I335" s="209" t="s">
        <v>4</v>
      </c>
      <c r="J335" s="210"/>
      <c r="K335" s="211"/>
      <c r="L335" s="212"/>
    </row>
    <row r="336" spans="1:12" x14ac:dyDescent="0.3">
      <c r="A336" s="27"/>
      <c r="B336" s="28"/>
      <c r="C336" s="198"/>
      <c r="D336" s="30"/>
      <c r="E336" s="30"/>
      <c r="F336" s="250" t="s">
        <v>118</v>
      </c>
      <c r="G336" s="250"/>
      <c r="H336" s="31">
        <f>SUM(H335:H335)</f>
        <v>1</v>
      </c>
      <c r="I336" s="32" t="s">
        <v>4</v>
      </c>
      <c r="J336" s="33"/>
      <c r="K336" s="34" t="str">
        <f>""</f>
        <v/>
      </c>
      <c r="L336" s="35"/>
    </row>
    <row r="337" spans="1:12" ht="31.2" x14ac:dyDescent="0.3">
      <c r="A337" s="36"/>
      <c r="B337" s="37"/>
      <c r="C337" s="194"/>
      <c r="D337" s="39"/>
      <c r="E337" s="249" t="s">
        <v>119</v>
      </c>
      <c r="F337" s="249"/>
      <c r="G337" s="249"/>
      <c r="H337" s="40">
        <f>ROUND(H336*1,3)</f>
        <v>1</v>
      </c>
      <c r="I337" s="41" t="s">
        <v>120</v>
      </c>
      <c r="J337" s="42" t="s">
        <v>19</v>
      </c>
      <c r="K337" s="43">
        <f>IF(B334="22.38",_xlfn.IFS(J337="Labour Rate",9,J337="Material Rate",232,J337="Through Rate",241,TRUE,""),"")</f>
        <v>241</v>
      </c>
      <c r="L337" s="44">
        <f>IF(H337*K337&lt;&gt;0,H337*K337,0)</f>
        <v>241</v>
      </c>
    </row>
    <row r="338" spans="1:12" ht="14.1" customHeight="1" x14ac:dyDescent="0.3">
      <c r="A338" s="45"/>
      <c r="B338" s="46"/>
      <c r="C338" s="195"/>
      <c r="D338" s="48"/>
      <c r="E338" s="48"/>
      <c r="F338" s="49"/>
      <c r="G338" s="48"/>
      <c r="H338" s="49"/>
      <c r="I338" s="50"/>
      <c r="J338" s="51"/>
      <c r="K338" s="52"/>
      <c r="L338" s="53"/>
    </row>
    <row r="339" spans="1:12" ht="120.6" x14ac:dyDescent="0.3">
      <c r="A339" s="7">
        <f>IFERROR(LOOKUP(2,1/(ISNUMBER($A$4:$A$338)),$A$4:$A$338),0)+1</f>
        <v>46</v>
      </c>
      <c r="B339" s="8" t="s">
        <v>153</v>
      </c>
      <c r="C339" s="9" t="s">
        <v>154</v>
      </c>
      <c r="D339" s="199"/>
      <c r="E339" s="200"/>
      <c r="F339" s="201"/>
      <c r="G339" s="200"/>
      <c r="H339" s="202"/>
      <c r="I339" s="203"/>
      <c r="J339" s="204"/>
      <c r="K339" s="205"/>
      <c r="L339" s="206"/>
    </row>
    <row r="340" spans="1:12" x14ac:dyDescent="0.3">
      <c r="A340" s="17"/>
      <c r="B340" s="135"/>
      <c r="C340" s="136"/>
      <c r="D340" s="207">
        <v>2</v>
      </c>
      <c r="E340" s="207">
        <v>1</v>
      </c>
      <c r="F340" s="208"/>
      <c r="G340" s="207"/>
      <c r="H340" s="139">
        <f>D340*IF(OR(E340=0,E340="-"),1,E340)*IF(OR(F340=0,F340="-"),1,F340)*IF(OR(G340=0,G340="-"),1,G340)</f>
        <v>2</v>
      </c>
      <c r="I340" s="209" t="s">
        <v>133</v>
      </c>
      <c r="J340" s="210"/>
      <c r="K340" s="211"/>
      <c r="L340" s="212"/>
    </row>
    <row r="341" spans="1:12" x14ac:dyDescent="0.3">
      <c r="A341" s="27"/>
      <c r="B341" s="28"/>
      <c r="C341" s="198"/>
      <c r="D341" s="30"/>
      <c r="E341" s="30"/>
      <c r="F341" s="250" t="s">
        <v>119</v>
      </c>
      <c r="G341" s="250"/>
      <c r="H341" s="31">
        <f>SUM(H340:H340)</f>
        <v>2</v>
      </c>
      <c r="I341" s="32" t="s">
        <v>133</v>
      </c>
      <c r="J341" s="33"/>
      <c r="K341" s="34" t="str">
        <f>""</f>
        <v/>
      </c>
      <c r="L341" s="35"/>
    </row>
    <row r="342" spans="1:12" ht="31.2" x14ac:dyDescent="0.3">
      <c r="A342" s="36"/>
      <c r="B342" s="37"/>
      <c r="C342" s="194"/>
      <c r="D342" s="39"/>
      <c r="E342" s="249" t="s">
        <v>119</v>
      </c>
      <c r="F342" s="249"/>
      <c r="G342" s="249"/>
      <c r="H342" s="40">
        <f>ROUND(H341*1,3)</f>
        <v>2</v>
      </c>
      <c r="I342" s="41" t="s">
        <v>120</v>
      </c>
      <c r="J342" s="42" t="s">
        <v>19</v>
      </c>
      <c r="K342" s="43">
        <f>IF(B339="22.25.2",_xlfn.IFS(J342="Labour Rate",1167,J342="Material Rate",1678,J342="Through Rate",2845,TRUE,""),"")</f>
        <v>2845</v>
      </c>
      <c r="L342" s="44">
        <f>IF(H342*K342&lt;&gt;0,H342*K342,0)</f>
        <v>5690</v>
      </c>
    </row>
    <row r="343" spans="1:12" ht="14.1" customHeight="1" x14ac:dyDescent="0.3">
      <c r="A343" s="45"/>
      <c r="B343" s="46"/>
      <c r="C343" s="195"/>
      <c r="D343" s="48"/>
      <c r="E343" s="48"/>
      <c r="F343" s="49"/>
      <c r="G343" s="48"/>
      <c r="H343" s="49"/>
      <c r="I343" s="50"/>
      <c r="J343" s="51"/>
      <c r="K343" s="52"/>
      <c r="L343" s="53"/>
    </row>
    <row r="344" spans="1:12" ht="39.6" x14ac:dyDescent="0.3">
      <c r="A344" s="7">
        <f>IFERROR(LOOKUP(2,1/(ISNUMBER($A$4:$A$343)),$A$4:$A$343),0)+1</f>
        <v>47</v>
      </c>
      <c r="B344" s="8" t="s">
        <v>155</v>
      </c>
      <c r="C344" s="9" t="s">
        <v>156</v>
      </c>
      <c r="D344" s="199"/>
      <c r="E344" s="200"/>
      <c r="F344" s="201"/>
      <c r="G344" s="200"/>
      <c r="H344" s="202"/>
      <c r="I344" s="203"/>
      <c r="J344" s="204"/>
      <c r="K344" s="205"/>
      <c r="L344" s="206"/>
    </row>
    <row r="345" spans="1:12" x14ac:dyDescent="0.3">
      <c r="A345" s="17"/>
      <c r="B345" s="135"/>
      <c r="C345" s="136"/>
      <c r="D345" s="207">
        <v>4</v>
      </c>
      <c r="E345" s="207">
        <v>1</v>
      </c>
      <c r="F345" s="208"/>
      <c r="G345" s="207"/>
      <c r="H345" s="139">
        <f>D345*IF(OR(E345=0,E345="-"),1,E345)*IF(OR(F345=0,F345="-"),1,F345)*IF(OR(G345=0,G345="-"),1,G345)</f>
        <v>4</v>
      </c>
      <c r="I345" s="209" t="s">
        <v>133</v>
      </c>
      <c r="J345" s="210"/>
      <c r="K345" s="211"/>
      <c r="L345" s="212"/>
    </row>
    <row r="346" spans="1:12" x14ac:dyDescent="0.3">
      <c r="A346" s="27"/>
      <c r="B346" s="28"/>
      <c r="C346" s="198"/>
      <c r="D346" s="30"/>
      <c r="E346" s="30"/>
      <c r="F346" s="250" t="s">
        <v>119</v>
      </c>
      <c r="G346" s="250"/>
      <c r="H346" s="31">
        <f>SUM(H345:H345)</f>
        <v>4</v>
      </c>
      <c r="I346" s="32" t="s">
        <v>133</v>
      </c>
      <c r="J346" s="33"/>
      <c r="K346" s="34" t="str">
        <f>""</f>
        <v/>
      </c>
      <c r="L346" s="35"/>
    </row>
    <row r="347" spans="1:12" ht="31.2" x14ac:dyDescent="0.3">
      <c r="A347" s="36"/>
      <c r="B347" s="37"/>
      <c r="C347" s="194"/>
      <c r="D347" s="39"/>
      <c r="E347" s="249" t="s">
        <v>119</v>
      </c>
      <c r="F347" s="249"/>
      <c r="G347" s="249"/>
      <c r="H347" s="40">
        <f>ROUND(H346*1,3)</f>
        <v>4</v>
      </c>
      <c r="I347" s="41" t="s">
        <v>120</v>
      </c>
      <c r="J347" s="42" t="s">
        <v>19</v>
      </c>
      <c r="K347" s="43">
        <f>IF(B344="22.82.1",_xlfn.IFS(J347="Labour Rate",60,J347="Material Rate",75,J347="Through Rate",135,TRUE,""),"")</f>
        <v>135</v>
      </c>
      <c r="L347" s="44">
        <f>IF(H347*K347&lt;&gt;0,H347*K347,0)</f>
        <v>540</v>
      </c>
    </row>
    <row r="348" spans="1:12" ht="14.1" customHeight="1" x14ac:dyDescent="0.3">
      <c r="A348" s="45"/>
      <c r="B348" s="46"/>
      <c r="C348" s="195"/>
      <c r="D348" s="48"/>
      <c r="E348" s="48"/>
      <c r="F348" s="49"/>
      <c r="G348" s="48"/>
      <c r="H348" s="49"/>
      <c r="I348" s="50"/>
      <c r="J348" s="51"/>
      <c r="K348" s="52"/>
      <c r="L348" s="53"/>
    </row>
    <row r="349" spans="1:12" ht="108.6" x14ac:dyDescent="0.3">
      <c r="A349" s="7">
        <f>IFERROR(LOOKUP(2,1/(ISNUMBER($A$4:$A$348)),$A$4:$A$348),0)+1</f>
        <v>48</v>
      </c>
      <c r="B349" s="8" t="s">
        <v>157</v>
      </c>
      <c r="C349" s="9" t="s">
        <v>158</v>
      </c>
      <c r="D349" s="199"/>
      <c r="E349" s="200"/>
      <c r="F349" s="201"/>
      <c r="G349" s="200"/>
      <c r="H349" s="202"/>
      <c r="I349" s="203"/>
      <c r="J349" s="204"/>
      <c r="K349" s="205"/>
      <c r="L349" s="206"/>
    </row>
    <row r="350" spans="1:12" x14ac:dyDescent="0.3">
      <c r="A350" s="17"/>
      <c r="B350" s="135"/>
      <c r="C350" s="136"/>
      <c r="D350" s="207">
        <v>1</v>
      </c>
      <c r="E350" s="207">
        <v>80</v>
      </c>
      <c r="F350" s="208"/>
      <c r="G350" s="207"/>
      <c r="H350" s="139">
        <f>D350*IF(OR(E350=0,E350="-"),1,E350)*IF(OR(F350=0,F350="-"),1,F350)*IF(OR(G350=0,G350="-"),1,G350)</f>
        <v>80</v>
      </c>
      <c r="I350" s="209" t="s">
        <v>39</v>
      </c>
      <c r="J350" s="210"/>
      <c r="K350" s="211"/>
      <c r="L350" s="212"/>
    </row>
    <row r="351" spans="1:12" x14ac:dyDescent="0.3">
      <c r="A351" s="27"/>
      <c r="B351" s="28"/>
      <c r="C351" s="198"/>
      <c r="D351" s="30"/>
      <c r="E351" s="30"/>
      <c r="F351" s="250" t="s">
        <v>41</v>
      </c>
      <c r="G351" s="250"/>
      <c r="H351" s="31">
        <f>SUM(H350:H350)</f>
        <v>80</v>
      </c>
      <c r="I351" s="32" t="s">
        <v>39</v>
      </c>
      <c r="J351" s="33"/>
      <c r="K351" s="34" t="str">
        <f>""</f>
        <v/>
      </c>
      <c r="L351" s="35"/>
    </row>
    <row r="352" spans="1:12" ht="31.2" x14ac:dyDescent="0.3">
      <c r="A352" s="36"/>
      <c r="B352" s="37"/>
      <c r="C352" s="194"/>
      <c r="D352" s="39"/>
      <c r="E352" s="249" t="s">
        <v>42</v>
      </c>
      <c r="F352" s="249"/>
      <c r="G352" s="249"/>
      <c r="H352" s="40">
        <f>ROUND(H351*0.3048,3)</f>
        <v>24.384</v>
      </c>
      <c r="I352" s="41" t="s">
        <v>70</v>
      </c>
      <c r="J352" s="42" t="s">
        <v>19</v>
      </c>
      <c r="K352" s="43">
        <f>IF(B349="22.86.1",_xlfn.IFS(J352="Labour Rate",105,J352="Material Rate",100,J352="Through Rate",205,TRUE,""),"")</f>
        <v>205</v>
      </c>
      <c r="L352" s="44">
        <f>IF(H352*K352&lt;&gt;0,H352*K352,0)</f>
        <v>4998.72</v>
      </c>
    </row>
    <row r="353" spans="1:12" ht="14.1" customHeight="1" x14ac:dyDescent="0.3">
      <c r="A353" s="45"/>
      <c r="B353" s="46"/>
      <c r="C353" s="195"/>
      <c r="D353" s="48"/>
      <c r="E353" s="48"/>
      <c r="F353" s="49"/>
      <c r="G353" s="48"/>
      <c r="H353" s="49"/>
      <c r="I353" s="50"/>
      <c r="J353" s="51"/>
      <c r="K353" s="52"/>
      <c r="L353" s="53"/>
    </row>
    <row r="354" spans="1:12" ht="108.6" x14ac:dyDescent="0.3">
      <c r="A354" s="7">
        <f>IFERROR(LOOKUP(2,1/(ISNUMBER($A$4:$A$353)),$A$4:$A$353),0)+1</f>
        <v>49</v>
      </c>
      <c r="B354" s="8" t="s">
        <v>159</v>
      </c>
      <c r="C354" s="9" t="s">
        <v>160</v>
      </c>
      <c r="D354" s="199"/>
      <c r="E354" s="200"/>
      <c r="F354" s="201"/>
      <c r="G354" s="200"/>
      <c r="H354" s="202"/>
      <c r="I354" s="203"/>
      <c r="J354" s="204"/>
      <c r="K354" s="205"/>
      <c r="L354" s="206"/>
    </row>
    <row r="355" spans="1:12" x14ac:dyDescent="0.3">
      <c r="A355" s="17"/>
      <c r="B355" s="135"/>
      <c r="C355" s="136"/>
      <c r="D355" s="207">
        <v>1</v>
      </c>
      <c r="E355" s="207">
        <v>50</v>
      </c>
      <c r="F355" s="208"/>
      <c r="G355" s="207"/>
      <c r="H355" s="139">
        <f>D355*IF(OR(E355=0,E355="-"),1,E355)*IF(OR(F355=0,F355="-"),1,F355)*IF(OR(G355=0,G355="-"),1,G355)</f>
        <v>50</v>
      </c>
      <c r="I355" s="209" t="s">
        <v>123</v>
      </c>
      <c r="J355" s="210"/>
      <c r="K355" s="211"/>
      <c r="L355" s="212"/>
    </row>
    <row r="356" spans="1:12" x14ac:dyDescent="0.3">
      <c r="A356" s="27"/>
      <c r="B356" s="144"/>
      <c r="C356" s="145"/>
      <c r="D356" s="144"/>
      <c r="E356" s="144"/>
      <c r="F356" s="252" t="s">
        <v>124</v>
      </c>
      <c r="G356" s="252"/>
      <c r="H356" s="147">
        <f>SUM(H355:H355)</f>
        <v>50</v>
      </c>
      <c r="I356" s="213" t="s">
        <v>123</v>
      </c>
      <c r="J356" s="214"/>
      <c r="K356" s="150" t="str">
        <f>""</f>
        <v/>
      </c>
      <c r="L356" s="215"/>
    </row>
    <row r="357" spans="1:12" ht="31.2" x14ac:dyDescent="0.3">
      <c r="A357" s="36"/>
      <c r="B357" s="37"/>
      <c r="C357" s="194"/>
      <c r="D357" s="39"/>
      <c r="E357" s="249" t="s">
        <v>124</v>
      </c>
      <c r="F357" s="249"/>
      <c r="G357" s="249"/>
      <c r="H357" s="40">
        <f>ROUND(H356*1,3)</f>
        <v>50</v>
      </c>
      <c r="I357" s="41" t="s">
        <v>70</v>
      </c>
      <c r="J357" s="42" t="s">
        <v>19</v>
      </c>
      <c r="K357" s="43">
        <f>IF(B354="22.86.2",_xlfn.IFS(J357="Labour Rate",105,J357="Material Rate",159,J357="Through Rate",264,TRUE,""),"")</f>
        <v>264</v>
      </c>
      <c r="L357" s="44">
        <f>IF(H357*K357&lt;&gt;0,H357*K357,0)</f>
        <v>13200</v>
      </c>
    </row>
    <row r="358" spans="1:12" ht="14.1" customHeight="1" x14ac:dyDescent="0.3">
      <c r="A358" s="45"/>
      <c r="B358" s="46"/>
      <c r="C358" s="195"/>
      <c r="D358" s="48"/>
      <c r="E358" s="48"/>
      <c r="F358" s="49"/>
      <c r="G358" s="48"/>
      <c r="H358" s="49"/>
      <c r="I358" s="50"/>
      <c r="J358" s="51"/>
      <c r="K358" s="52"/>
      <c r="L358" s="53"/>
    </row>
    <row r="359" spans="1:12" ht="69" x14ac:dyDescent="0.3">
      <c r="A359" s="7">
        <f>IFERROR(LOOKUP(2,1/(ISNUMBER($A$4:$A$358)),$A$4:$A$358),0)+1</f>
        <v>50</v>
      </c>
      <c r="B359" s="8" t="s">
        <v>161</v>
      </c>
      <c r="C359" s="9" t="s">
        <v>162</v>
      </c>
      <c r="D359" s="199"/>
      <c r="E359" s="200"/>
      <c r="F359" s="201"/>
      <c r="G359" s="200"/>
      <c r="H359" s="202"/>
      <c r="I359" s="203"/>
      <c r="J359" s="204"/>
      <c r="K359" s="205"/>
      <c r="L359" s="206"/>
    </row>
    <row r="360" spans="1:12" x14ac:dyDescent="0.3">
      <c r="A360" s="17"/>
      <c r="B360" s="135"/>
      <c r="C360" s="136"/>
      <c r="D360" s="207">
        <v>1</v>
      </c>
      <c r="E360" s="207">
        <v>500</v>
      </c>
      <c r="F360" s="208"/>
      <c r="G360" s="207"/>
      <c r="H360" s="139">
        <f>D360*IF(OR(E360=0,E360="-"),1,E360)*IF(OR(F360=0,F360="-"),1,F360)*IF(OR(G360=0,G360="-"),1,G360)</f>
        <v>500</v>
      </c>
      <c r="I360" s="209" t="s">
        <v>163</v>
      </c>
      <c r="J360" s="210"/>
      <c r="K360" s="211"/>
      <c r="L360" s="212"/>
    </row>
    <row r="361" spans="1:12" x14ac:dyDescent="0.3">
      <c r="A361" s="27"/>
      <c r="B361" s="28"/>
      <c r="C361" s="198"/>
      <c r="D361" s="30"/>
      <c r="E361" s="30"/>
      <c r="F361" s="250" t="s">
        <v>164</v>
      </c>
      <c r="G361" s="250"/>
      <c r="H361" s="31">
        <f>SUM(H360:H360)</f>
        <v>500</v>
      </c>
      <c r="I361" s="32" t="s">
        <v>163</v>
      </c>
      <c r="J361" s="33"/>
      <c r="K361" s="34" t="str">
        <f>""</f>
        <v/>
      </c>
      <c r="L361" s="35"/>
    </row>
    <row r="362" spans="1:12" ht="31.2" x14ac:dyDescent="0.3">
      <c r="A362" s="36"/>
      <c r="B362" s="37"/>
      <c r="C362" s="194"/>
      <c r="D362" s="39"/>
      <c r="E362" s="249" t="s">
        <v>165</v>
      </c>
      <c r="F362" s="249"/>
      <c r="G362" s="249"/>
      <c r="H362" s="40">
        <f>ROUND(H361*1,3)</f>
        <v>500</v>
      </c>
      <c r="I362" s="41" t="s">
        <v>166</v>
      </c>
      <c r="J362" s="42" t="s">
        <v>19</v>
      </c>
      <c r="K362" s="43">
        <f>IF(B359="22.181",_xlfn.IFS(J362="Material Rate",6,J362="Through Rate",7,TRUE,""),"")</f>
        <v>7</v>
      </c>
      <c r="L362" s="44">
        <f>IF(H362*K362&lt;&gt;0,H362*K362,0)</f>
        <v>3500</v>
      </c>
    </row>
    <row r="363" spans="1:12" ht="14.1" customHeight="1" x14ac:dyDescent="0.3">
      <c r="A363" s="45"/>
      <c r="B363" s="46"/>
      <c r="C363" s="195"/>
      <c r="D363" s="48"/>
      <c r="E363" s="48"/>
      <c r="F363" s="49"/>
      <c r="G363" s="48"/>
      <c r="H363" s="49"/>
      <c r="I363" s="50"/>
      <c r="J363" s="51"/>
      <c r="K363" s="52"/>
      <c r="L363" s="53"/>
    </row>
    <row r="364" spans="1:12" ht="66" x14ac:dyDescent="0.3">
      <c r="A364" s="7">
        <f>IFERROR(LOOKUP(2,1/(ISNUMBER($A$4:$A$363)),$A$4:$A$363),0)+1</f>
        <v>51</v>
      </c>
      <c r="B364" s="54" t="s">
        <v>167</v>
      </c>
      <c r="C364" s="9" t="s">
        <v>168</v>
      </c>
      <c r="D364" s="199"/>
      <c r="E364" s="200"/>
      <c r="F364" s="201"/>
      <c r="G364" s="200"/>
      <c r="H364" s="202"/>
      <c r="I364" s="203"/>
      <c r="J364" s="204"/>
      <c r="K364" s="205"/>
      <c r="L364" s="206"/>
    </row>
    <row r="365" spans="1:12" x14ac:dyDescent="0.3">
      <c r="A365" s="17"/>
      <c r="B365" s="135"/>
      <c r="C365" s="136"/>
      <c r="D365" s="207">
        <v>1</v>
      </c>
      <c r="E365" s="207">
        <v>40</v>
      </c>
      <c r="F365" s="208"/>
      <c r="G365" s="207"/>
      <c r="H365" s="139">
        <f>D365*IF(OR(E365=0,E365="-"),1,E365)*IF(OR(F365=0,F365="-"),1,F365)*IF(OR(G365=0,G365="-"),1,G365)</f>
        <v>40</v>
      </c>
      <c r="I365" s="209" t="s">
        <v>123</v>
      </c>
      <c r="J365" s="210"/>
      <c r="K365" s="211"/>
      <c r="L365" s="212"/>
    </row>
    <row r="366" spans="1:12" x14ac:dyDescent="0.3">
      <c r="A366" s="27"/>
      <c r="B366" s="144"/>
      <c r="C366" s="145"/>
      <c r="D366" s="144"/>
      <c r="E366" s="144"/>
      <c r="F366" s="252" t="s">
        <v>124</v>
      </c>
      <c r="G366" s="252"/>
      <c r="H366" s="147">
        <f>SUM(H365:H365)</f>
        <v>40</v>
      </c>
      <c r="I366" s="213" t="s">
        <v>123</v>
      </c>
      <c r="J366" s="214"/>
      <c r="K366" s="150" t="str">
        <f>""</f>
        <v/>
      </c>
      <c r="L366" s="215"/>
    </row>
    <row r="367" spans="1:12" ht="31.2" x14ac:dyDescent="0.3">
      <c r="A367" s="36"/>
      <c r="B367" s="37"/>
      <c r="C367" s="194"/>
      <c r="D367" s="39"/>
      <c r="E367" s="249" t="s">
        <v>124</v>
      </c>
      <c r="F367" s="249"/>
      <c r="G367" s="249"/>
      <c r="H367" s="40">
        <f>ROUND(H366*1,3)</f>
        <v>40</v>
      </c>
      <c r="I367" s="41" t="s">
        <v>70</v>
      </c>
      <c r="J367" s="42" t="s">
        <v>19</v>
      </c>
      <c r="K367" s="43">
        <f>IF(B364="22.222.2.2",_xlfn.IFS(J367="Labour Rate",87,J367="Material Rate",236,J367="Through Rate",322,TRUE,""),"")</f>
        <v>322</v>
      </c>
      <c r="L367" s="44">
        <f>IF(H367*K367&lt;&gt;0,H367*K367,0)</f>
        <v>12880</v>
      </c>
    </row>
    <row r="368" spans="1:12" ht="14.1" customHeight="1" x14ac:dyDescent="0.3">
      <c r="A368" s="45"/>
      <c r="B368" s="46"/>
      <c r="C368" s="195"/>
      <c r="D368" s="48"/>
      <c r="E368" s="48"/>
      <c r="F368" s="49"/>
      <c r="G368" s="48"/>
      <c r="H368" s="49"/>
      <c r="I368" s="50"/>
      <c r="J368" s="51"/>
      <c r="K368" s="52"/>
      <c r="L368" s="53"/>
    </row>
    <row r="369" spans="1:13" ht="39.6" x14ac:dyDescent="0.3">
      <c r="A369" s="7">
        <f>IFERROR(LOOKUP(2,1/(ISNUMBER($A$4:$A$368)),$A$4:$A$368),0)+1</f>
        <v>52</v>
      </c>
      <c r="B369" s="8" t="s">
        <v>169</v>
      </c>
      <c r="C369" s="9" t="s">
        <v>170</v>
      </c>
      <c r="D369" s="199"/>
      <c r="E369" s="200"/>
      <c r="F369" s="201"/>
      <c r="G369" s="200"/>
      <c r="H369" s="202"/>
      <c r="I369" s="203"/>
      <c r="J369" s="204"/>
      <c r="K369" s="205"/>
      <c r="L369" s="206"/>
    </row>
    <row r="370" spans="1:13" x14ac:dyDescent="0.3">
      <c r="A370" s="17"/>
      <c r="B370" s="135"/>
      <c r="C370" s="136"/>
      <c r="D370" s="207">
        <v>3</v>
      </c>
      <c r="E370" s="207">
        <v>1</v>
      </c>
      <c r="F370" s="208"/>
      <c r="G370" s="207"/>
      <c r="H370" s="139">
        <f>D370*IF(OR(E370=0,E370="-"),1,E370)*IF(OR(F370=0,F370="-"),1,F370)*IF(OR(G370=0,G370="-"),1,G370)</f>
        <v>3</v>
      </c>
      <c r="I370" s="209" t="s">
        <v>171</v>
      </c>
      <c r="J370" s="210"/>
      <c r="K370" s="211"/>
      <c r="L370" s="212"/>
    </row>
    <row r="371" spans="1:13" ht="17.399999999999999" x14ac:dyDescent="0.3">
      <c r="A371" s="27"/>
      <c r="B371" s="30"/>
      <c r="C371" s="190"/>
      <c r="D371" s="30"/>
      <c r="E371" s="30"/>
      <c r="F371" s="250" t="s">
        <v>172</v>
      </c>
      <c r="G371" s="250"/>
      <c r="H371" s="216">
        <f>SUM(H370:H370)</f>
        <v>3</v>
      </c>
      <c r="I371" s="217" t="s">
        <v>171</v>
      </c>
      <c r="J371" s="218"/>
      <c r="K371" s="219" t="str">
        <f>""</f>
        <v/>
      </c>
      <c r="L371" s="220"/>
    </row>
    <row r="372" spans="1:13" s="221" customFormat="1" ht="31.2" x14ac:dyDescent="0.3">
      <c r="A372" s="39" t="s">
        <v>173</v>
      </c>
      <c r="B372" s="39"/>
      <c r="C372" s="191"/>
      <c r="D372" s="39"/>
      <c r="E372" s="249" t="s">
        <v>172</v>
      </c>
      <c r="F372" s="249"/>
      <c r="G372" s="249"/>
      <c r="H372" s="40">
        <f>ROUND(H371*1,3)</f>
        <v>3</v>
      </c>
      <c r="I372" s="41" t="s">
        <v>120</v>
      </c>
      <c r="J372" s="42" t="s">
        <v>19</v>
      </c>
      <c r="K372" s="43">
        <f>IF(B369="22.96.1",_xlfn.IFS(J372="Labour Rate",7,J372="Material Rate",244,J372="Through Rate",250,TRUE,""),"")</f>
        <v>250</v>
      </c>
      <c r="L372" s="44">
        <f>IF(H372*K372&lt;&gt;0,H372*K372,0)</f>
        <v>750</v>
      </c>
    </row>
    <row r="373" spans="1:13" ht="14.1" customHeight="1" x14ac:dyDescent="0.3">
      <c r="A373" s="222"/>
      <c r="B373" s="223"/>
      <c r="C373" s="224"/>
      <c r="D373" s="223"/>
      <c r="E373" s="223"/>
      <c r="F373" s="225"/>
      <c r="G373" s="223"/>
      <c r="H373" s="49"/>
      <c r="I373" s="224"/>
      <c r="J373" s="192"/>
      <c r="K373" s="48"/>
      <c r="L373" s="53"/>
    </row>
    <row r="374" spans="1:13" x14ac:dyDescent="0.3">
      <c r="H374" s="229"/>
      <c r="I374" s="230"/>
      <c r="J374" s="231" t="s">
        <v>174</v>
      </c>
      <c r="K374" s="232"/>
      <c r="L374" s="233">
        <f>SUM(L5:INDEX(L:L,ROW()-1))</f>
        <v>385976.37467901234</v>
      </c>
    </row>
    <row r="375" spans="1:13" x14ac:dyDescent="0.3">
      <c r="H375" s="229"/>
      <c r="I375" s="230"/>
      <c r="J375" s="234" t="s">
        <v>175</v>
      </c>
      <c r="K375" s="235"/>
      <c r="L375" s="236">
        <f>$L$374*0.18</f>
        <v>69475.747442222215</v>
      </c>
    </row>
    <row r="376" spans="1:13" x14ac:dyDescent="0.3">
      <c r="H376" s="229"/>
      <c r="I376" s="230"/>
      <c r="J376" s="234" t="s">
        <v>176</v>
      </c>
      <c r="K376" s="235"/>
      <c r="L376" s="236">
        <f>$L$374+$L$375</f>
        <v>455452.12212123454</v>
      </c>
    </row>
    <row r="377" spans="1:13" x14ac:dyDescent="0.3">
      <c r="H377" s="229"/>
      <c r="I377" s="230"/>
      <c r="J377" s="237" t="s">
        <v>177</v>
      </c>
      <c r="K377" s="238"/>
      <c r="L377" s="239">
        <f>L376*10%</f>
        <v>45545.212212123457</v>
      </c>
    </row>
    <row r="378" spans="1:13" x14ac:dyDescent="0.3">
      <c r="H378" s="229"/>
      <c r="I378" s="230"/>
      <c r="J378" s="237"/>
      <c r="K378" s="238"/>
      <c r="L378" s="239">
        <f>L376+L377</f>
        <v>500997.33433335798</v>
      </c>
    </row>
    <row r="379" spans="1:13" x14ac:dyDescent="0.3">
      <c r="H379" s="229"/>
      <c r="I379" s="230"/>
      <c r="J379" s="237" t="s">
        <v>178</v>
      </c>
      <c r="K379" s="238"/>
      <c r="L379" s="239">
        <f>L378*1%</f>
        <v>5009.9733433335796</v>
      </c>
    </row>
    <row r="380" spans="1:13" ht="16.2" thickBot="1" x14ac:dyDescent="0.35">
      <c r="H380" s="229"/>
      <c r="I380" s="230"/>
      <c r="J380" s="240" t="s">
        <v>179</v>
      </c>
      <c r="K380" s="241"/>
      <c r="L380" s="242">
        <f>L378+L379</f>
        <v>506007.30767669156</v>
      </c>
    </row>
    <row r="381" spans="1:13" ht="16.2" thickTop="1" x14ac:dyDescent="0.3">
      <c r="H381" s="229"/>
      <c r="I381" s="230"/>
      <c r="J381" s="243"/>
      <c r="K381" s="244"/>
      <c r="L381" s="245"/>
    </row>
    <row r="382" spans="1:13" ht="44.4" x14ac:dyDescent="0.3">
      <c r="H382" s="229"/>
      <c r="I382" s="246" t="s">
        <v>180</v>
      </c>
      <c r="J382" s="251" t="str">
        <f>IF(L380&gt;=10000000,ROUND(L380/10000000,2)&amp;" Crore",IF(L380&gt;=100000,ROUND(L380/100000,2)&amp;" Lakh",IF(L380&gt;=1000,ROUND(L380/1000,2)&amp;" Thousand",ROUND(L380,0)))) &amp; " Only"</f>
        <v>5.06 Lakh Only</v>
      </c>
      <c r="K382" s="251"/>
      <c r="L382" s="251"/>
    </row>
    <row r="383" spans="1:13" x14ac:dyDescent="0.3"/>
    <row r="384" spans="1:13" ht="15.6" customHeight="1" x14ac:dyDescent="0.3">
      <c r="E384"/>
      <c r="F384"/>
      <c r="G384"/>
      <c r="H384"/>
      <c r="I384"/>
      <c r="J384"/>
      <c r="K384"/>
      <c r="L384"/>
      <c r="M384"/>
    </row>
    <row r="385" spans="5:13" ht="15.6" customHeight="1" x14ac:dyDescent="0.3">
      <c r="E385"/>
      <c r="F385"/>
      <c r="G385"/>
      <c r="H385"/>
      <c r="I385"/>
      <c r="J385"/>
      <c r="K385"/>
      <c r="L385"/>
      <c r="M385"/>
    </row>
    <row r="386" spans="5:13" ht="15.6" customHeight="1" x14ac:dyDescent="0.3">
      <c r="E386"/>
      <c r="F386"/>
      <c r="G386"/>
      <c r="H386"/>
      <c r="I386"/>
      <c r="J386"/>
      <c r="K386"/>
      <c r="L386"/>
      <c r="M386"/>
    </row>
    <row r="387" spans="5:13" ht="15.6" customHeight="1" x14ac:dyDescent="0.3">
      <c r="E387"/>
      <c r="F387"/>
      <c r="G387"/>
      <c r="H387"/>
      <c r="I387"/>
      <c r="J387"/>
      <c r="K387"/>
      <c r="L387"/>
      <c r="M387"/>
    </row>
    <row r="388" spans="5:13" ht="15.6" customHeight="1" x14ac:dyDescent="0.3">
      <c r="E388"/>
      <c r="F388"/>
      <c r="G388"/>
      <c r="H388"/>
      <c r="I388"/>
      <c r="J388"/>
      <c r="K388"/>
      <c r="L388"/>
      <c r="M388"/>
    </row>
    <row r="389" spans="5:13" x14ac:dyDescent="0.3">
      <c r="E389"/>
      <c r="F389"/>
      <c r="G389"/>
      <c r="H389"/>
      <c r="I389"/>
      <c r="J389"/>
      <c r="K389"/>
      <c r="L389"/>
      <c r="M389"/>
    </row>
    <row r="390" spans="5:13" hidden="1" x14ac:dyDescent="0.3">
      <c r="E390"/>
      <c r="F390"/>
      <c r="G390"/>
      <c r="H390"/>
      <c r="I390"/>
      <c r="J390"/>
      <c r="K390"/>
      <c r="L390"/>
      <c r="M390"/>
    </row>
    <row r="391" spans="5:13" hidden="1" x14ac:dyDescent="0.3">
      <c r="E391"/>
      <c r="F391"/>
      <c r="G391"/>
      <c r="H391"/>
      <c r="I391"/>
      <c r="J391"/>
      <c r="K391"/>
      <c r="L391"/>
      <c r="M391"/>
    </row>
    <row r="392" spans="5:13" hidden="1" x14ac:dyDescent="0.3">
      <c r="E392"/>
      <c r="F392"/>
      <c r="G392"/>
      <c r="H392"/>
      <c r="I392"/>
      <c r="J392"/>
      <c r="K392"/>
      <c r="L392"/>
      <c r="M392"/>
    </row>
    <row r="393" spans="5:13" hidden="1" x14ac:dyDescent="0.3">
      <c r="E393"/>
      <c r="F393"/>
      <c r="G393"/>
      <c r="H393"/>
      <c r="I393"/>
      <c r="J393"/>
      <c r="K393"/>
      <c r="L393"/>
      <c r="M393"/>
    </row>
    <row r="394" spans="5:13" hidden="1" x14ac:dyDescent="0.3">
      <c r="E394"/>
      <c r="F394"/>
      <c r="G394"/>
      <c r="H394"/>
      <c r="I394"/>
      <c r="J394"/>
      <c r="K394"/>
      <c r="L394"/>
      <c r="M394"/>
    </row>
    <row r="395" spans="5:13" hidden="1" x14ac:dyDescent="0.3">
      <c r="E395"/>
      <c r="F395"/>
      <c r="G395"/>
      <c r="H395"/>
      <c r="I395"/>
      <c r="J395"/>
      <c r="K395"/>
      <c r="L395"/>
      <c r="M395"/>
    </row>
    <row r="396" spans="5:13" hidden="1" x14ac:dyDescent="0.3">
      <c r="E396"/>
      <c r="F396"/>
      <c r="G396"/>
      <c r="H396"/>
      <c r="I396"/>
      <c r="J396"/>
      <c r="K396"/>
      <c r="L396"/>
      <c r="M396"/>
    </row>
    <row r="397" spans="5:13" hidden="1" x14ac:dyDescent="0.3">
      <c r="E397"/>
      <c r="F397"/>
      <c r="G397"/>
      <c r="H397"/>
      <c r="I397"/>
      <c r="J397"/>
      <c r="K397"/>
      <c r="L397"/>
      <c r="M397"/>
    </row>
    <row r="398" spans="5:13" hidden="1" x14ac:dyDescent="0.3">
      <c r="E398"/>
      <c r="F398"/>
      <c r="G398"/>
      <c r="H398"/>
      <c r="I398"/>
      <c r="J398"/>
      <c r="K398"/>
      <c r="L398"/>
      <c r="M398"/>
    </row>
    <row r="399" spans="5:13" ht="15.6" hidden="1" customHeight="1" x14ac:dyDescent="0.3">
      <c r="E399"/>
      <c r="F399"/>
      <c r="G399"/>
      <c r="H399"/>
      <c r="I399"/>
      <c r="J399"/>
      <c r="K399"/>
      <c r="L399"/>
      <c r="M399"/>
    </row>
    <row r="400" spans="5:13" ht="15.6" hidden="1" customHeight="1" x14ac:dyDescent="0.3">
      <c r="E400"/>
      <c r="F400"/>
      <c r="G400"/>
      <c r="H400"/>
      <c r="I400"/>
      <c r="J400"/>
      <c r="K400"/>
      <c r="L400"/>
      <c r="M400"/>
    </row>
    <row r="401" spans="5:13" ht="15.6" hidden="1" customHeight="1" x14ac:dyDescent="0.3">
      <c r="E401"/>
      <c r="F401"/>
      <c r="G401"/>
      <c r="H401"/>
      <c r="I401"/>
      <c r="J401"/>
      <c r="K401"/>
      <c r="L401"/>
      <c r="M401"/>
    </row>
    <row r="402" spans="5:13" ht="15.6" hidden="1" customHeight="1" x14ac:dyDescent="0.3">
      <c r="E402"/>
      <c r="F402"/>
      <c r="G402"/>
      <c r="H402"/>
      <c r="I402"/>
      <c r="J402"/>
      <c r="K402"/>
      <c r="L402"/>
      <c r="M402"/>
    </row>
    <row r="403" spans="5:13" ht="15.6" hidden="1" customHeight="1" x14ac:dyDescent="0.3">
      <c r="E403"/>
      <c r="F403"/>
      <c r="G403"/>
      <c r="H403"/>
      <c r="I403"/>
      <c r="J403"/>
      <c r="K403"/>
      <c r="L403"/>
      <c r="M403"/>
    </row>
    <row r="404" spans="5:13" ht="15.6" hidden="1" customHeight="1" x14ac:dyDescent="0.3">
      <c r="E404"/>
      <c r="F404"/>
      <c r="G404"/>
      <c r="H404"/>
      <c r="I404"/>
      <c r="J404"/>
      <c r="K404"/>
      <c r="L404"/>
      <c r="M404"/>
    </row>
    <row r="405" spans="5:13" ht="15.6" hidden="1" customHeight="1" x14ac:dyDescent="0.3">
      <c r="E405"/>
      <c r="F405"/>
      <c r="G405"/>
      <c r="H405"/>
      <c r="I405"/>
      <c r="J405"/>
      <c r="K405"/>
      <c r="L405"/>
      <c r="M405"/>
    </row>
    <row r="406" spans="5:13" ht="15.6" hidden="1" customHeight="1" x14ac:dyDescent="0.3">
      <c r="E406"/>
      <c r="F406"/>
      <c r="G406"/>
      <c r="H406"/>
      <c r="I406"/>
      <c r="J406"/>
      <c r="K406"/>
      <c r="L406"/>
      <c r="M406"/>
    </row>
    <row r="407" spans="5:13" ht="15.6" hidden="1" customHeight="1" x14ac:dyDescent="0.3">
      <c r="E407"/>
      <c r="F407"/>
      <c r="G407"/>
      <c r="H407"/>
      <c r="I407"/>
      <c r="J407"/>
      <c r="K407"/>
      <c r="L407"/>
      <c r="M407"/>
    </row>
    <row r="408" spans="5:13" ht="15.6" hidden="1" customHeight="1" x14ac:dyDescent="0.3">
      <c r="E408"/>
      <c r="F408"/>
      <c r="G408"/>
      <c r="H408"/>
      <c r="I408"/>
      <c r="J408"/>
      <c r="K408"/>
      <c r="L408"/>
      <c r="M408"/>
    </row>
    <row r="409" spans="5:13" ht="15.6" hidden="1" customHeight="1" x14ac:dyDescent="0.3">
      <c r="E409"/>
      <c r="F409"/>
      <c r="G409"/>
      <c r="H409"/>
      <c r="I409"/>
      <c r="J409"/>
      <c r="K409"/>
      <c r="L409"/>
      <c r="M409"/>
    </row>
    <row r="410" spans="5:13" ht="15.6" hidden="1" customHeight="1" x14ac:dyDescent="0.3">
      <c r="E410"/>
      <c r="F410"/>
      <c r="G410"/>
      <c r="H410"/>
      <c r="I410"/>
      <c r="J410"/>
      <c r="K410"/>
      <c r="L410"/>
      <c r="M410"/>
    </row>
    <row r="411" spans="5:13" ht="15.6" hidden="1" customHeight="1" x14ac:dyDescent="0.3">
      <c r="E411"/>
      <c r="F411"/>
      <c r="G411"/>
      <c r="H411"/>
      <c r="I411"/>
      <c r="J411"/>
      <c r="K411"/>
      <c r="L411"/>
      <c r="M411"/>
    </row>
    <row r="412" spans="5:13" ht="15.6" hidden="1" customHeight="1" x14ac:dyDescent="0.3">
      <c r="E412"/>
      <c r="F412"/>
      <c r="G412"/>
      <c r="H412"/>
      <c r="I412"/>
      <c r="J412"/>
      <c r="K412"/>
      <c r="L412"/>
      <c r="M412"/>
    </row>
    <row r="413" spans="5:13" ht="15.6" hidden="1" customHeight="1" x14ac:dyDescent="0.3">
      <c r="E413"/>
      <c r="F413"/>
      <c r="G413"/>
      <c r="H413"/>
      <c r="I413"/>
      <c r="J413"/>
      <c r="K413"/>
      <c r="L413"/>
      <c r="M413"/>
    </row>
    <row r="414" spans="5:13" ht="15.6" hidden="1" customHeight="1" x14ac:dyDescent="0.3">
      <c r="E414"/>
      <c r="F414"/>
      <c r="G414"/>
      <c r="H414"/>
      <c r="I414"/>
      <c r="J414"/>
      <c r="K414"/>
      <c r="L414"/>
      <c r="M414"/>
    </row>
    <row r="415" spans="5:13" ht="15.6" hidden="1" customHeight="1" x14ac:dyDescent="0.3">
      <c r="E415"/>
      <c r="F415"/>
      <c r="G415"/>
      <c r="H415"/>
      <c r="I415"/>
      <c r="J415"/>
      <c r="K415"/>
      <c r="L415"/>
      <c r="M415"/>
    </row>
    <row r="416" spans="5:13" ht="15.6" hidden="1" customHeight="1" x14ac:dyDescent="0.3">
      <c r="E416"/>
      <c r="F416"/>
      <c r="G416"/>
      <c r="H416"/>
      <c r="I416"/>
      <c r="J416"/>
      <c r="K416"/>
      <c r="L416"/>
      <c r="M416"/>
    </row>
    <row r="417" spans="5:13" ht="15.6" hidden="1" customHeight="1" x14ac:dyDescent="0.3">
      <c r="E417"/>
      <c r="F417"/>
      <c r="G417"/>
      <c r="H417"/>
      <c r="I417"/>
      <c r="J417"/>
      <c r="K417"/>
      <c r="L417"/>
      <c r="M417"/>
    </row>
    <row r="418" spans="5:13" ht="15.6" hidden="1" customHeight="1" x14ac:dyDescent="0.3">
      <c r="E418"/>
      <c r="F418"/>
      <c r="G418"/>
      <c r="H418"/>
      <c r="I418"/>
      <c r="J418"/>
      <c r="K418"/>
      <c r="L418"/>
      <c r="M418"/>
    </row>
    <row r="419" spans="5:13" ht="15.6" hidden="1" customHeight="1" x14ac:dyDescent="0.3">
      <c r="E419"/>
      <c r="F419"/>
      <c r="G419"/>
      <c r="H419"/>
      <c r="I419"/>
      <c r="J419"/>
      <c r="K419"/>
      <c r="L419"/>
      <c r="M419"/>
    </row>
    <row r="420" spans="5:13" ht="15.6" hidden="1" customHeight="1" x14ac:dyDescent="0.3">
      <c r="E420"/>
      <c r="F420"/>
      <c r="G420"/>
      <c r="H420"/>
      <c r="I420"/>
      <c r="J420"/>
      <c r="K420"/>
      <c r="L420"/>
      <c r="M420"/>
    </row>
    <row r="421" spans="5:13" ht="15.6" hidden="1" customHeight="1" x14ac:dyDescent="0.3">
      <c r="E421"/>
      <c r="F421"/>
      <c r="G421"/>
      <c r="H421"/>
      <c r="I421"/>
      <c r="J421"/>
      <c r="K421"/>
      <c r="L421"/>
      <c r="M421"/>
    </row>
    <row r="422" spans="5:13" ht="15.6" hidden="1" customHeight="1" x14ac:dyDescent="0.3">
      <c r="E422"/>
      <c r="F422"/>
      <c r="G422"/>
      <c r="H422"/>
      <c r="I422"/>
      <c r="J422"/>
      <c r="K422"/>
      <c r="L422"/>
      <c r="M422"/>
    </row>
    <row r="423" spans="5:13" ht="15.6" hidden="1" customHeight="1" x14ac:dyDescent="0.3">
      <c r="E423"/>
      <c r="F423"/>
      <c r="G423"/>
      <c r="H423"/>
      <c r="I423"/>
      <c r="J423"/>
      <c r="K423"/>
      <c r="L423"/>
      <c r="M423"/>
    </row>
    <row r="424" spans="5:13" ht="15.6" hidden="1" customHeight="1" x14ac:dyDescent="0.3">
      <c r="E424"/>
      <c r="F424"/>
      <c r="G424"/>
      <c r="H424"/>
      <c r="I424"/>
      <c r="J424"/>
      <c r="K424"/>
      <c r="L424"/>
      <c r="M424"/>
    </row>
    <row r="425" spans="5:13" ht="15.6" hidden="1" customHeight="1" x14ac:dyDescent="0.3">
      <c r="E425"/>
      <c r="F425"/>
      <c r="G425"/>
      <c r="H425"/>
      <c r="I425"/>
      <c r="J425"/>
      <c r="K425"/>
      <c r="L425"/>
      <c r="M425"/>
    </row>
    <row r="426" spans="5:13" ht="15.6" hidden="1" customHeight="1" x14ac:dyDescent="0.3">
      <c r="E426"/>
      <c r="F426"/>
      <c r="G426"/>
      <c r="H426"/>
      <c r="I426"/>
      <c r="J426"/>
      <c r="K426"/>
      <c r="L426"/>
      <c r="M426"/>
    </row>
    <row r="427" spans="5:13" ht="15.6" hidden="1" customHeight="1" x14ac:dyDescent="0.3">
      <c r="E427"/>
      <c r="F427"/>
      <c r="G427"/>
      <c r="H427"/>
      <c r="I427"/>
      <c r="J427"/>
      <c r="K427"/>
      <c r="L427"/>
      <c r="M427"/>
    </row>
    <row r="428" spans="5:13" ht="15.6" hidden="1" customHeight="1" x14ac:dyDescent="0.3">
      <c r="E428"/>
      <c r="F428"/>
      <c r="G428"/>
      <c r="H428"/>
      <c r="I428"/>
      <c r="J428"/>
      <c r="K428"/>
      <c r="L428"/>
      <c r="M428"/>
    </row>
    <row r="429" spans="5:13" ht="15.6" hidden="1" customHeight="1" x14ac:dyDescent="0.3">
      <c r="E429"/>
      <c r="F429"/>
      <c r="G429"/>
      <c r="H429"/>
      <c r="I429"/>
      <c r="J429"/>
      <c r="K429"/>
      <c r="L429"/>
      <c r="M429"/>
    </row>
    <row r="430" spans="5:13" ht="15.6" hidden="1" customHeight="1" x14ac:dyDescent="0.3">
      <c r="E430"/>
      <c r="F430"/>
      <c r="G430"/>
      <c r="H430"/>
      <c r="I430"/>
      <c r="J430"/>
      <c r="K430"/>
      <c r="L430"/>
      <c r="M430"/>
    </row>
    <row r="431" spans="5:13" ht="15.6" hidden="1" customHeight="1" x14ac:dyDescent="0.3">
      <c r="E431"/>
      <c r="F431"/>
      <c r="G431"/>
      <c r="H431"/>
      <c r="I431"/>
      <c r="J431"/>
      <c r="K431"/>
      <c r="L431"/>
      <c r="M431"/>
    </row>
    <row r="432" spans="5:13" ht="15.6" hidden="1" customHeight="1" x14ac:dyDescent="0.3">
      <c r="E432"/>
      <c r="F432"/>
      <c r="G432"/>
      <c r="H432"/>
      <c r="I432"/>
      <c r="J432"/>
      <c r="K432"/>
      <c r="L432"/>
      <c r="M432"/>
    </row>
    <row r="433" spans="5:13" ht="15.6" hidden="1" customHeight="1" x14ac:dyDescent="0.3">
      <c r="E433"/>
      <c r="F433"/>
      <c r="G433"/>
      <c r="H433"/>
      <c r="I433"/>
      <c r="J433"/>
      <c r="K433"/>
      <c r="L433"/>
      <c r="M433"/>
    </row>
    <row r="434" spans="5:13" ht="15.6" hidden="1" customHeight="1" x14ac:dyDescent="0.3">
      <c r="E434"/>
      <c r="F434"/>
      <c r="G434"/>
      <c r="H434"/>
      <c r="I434"/>
      <c r="J434"/>
      <c r="K434"/>
      <c r="L434"/>
      <c r="M434"/>
    </row>
    <row r="435" spans="5:13" ht="15.6" hidden="1" customHeight="1" x14ac:dyDescent="0.3">
      <c r="E435"/>
      <c r="F435"/>
      <c r="G435"/>
      <c r="H435"/>
      <c r="I435"/>
      <c r="J435"/>
      <c r="K435"/>
      <c r="L435"/>
      <c r="M435"/>
    </row>
    <row r="436" spans="5:13" ht="15.6" hidden="1" customHeight="1" x14ac:dyDescent="0.3">
      <c r="E436"/>
      <c r="F436"/>
      <c r="G436"/>
      <c r="H436"/>
      <c r="I436"/>
      <c r="J436"/>
      <c r="K436"/>
      <c r="L436"/>
      <c r="M436"/>
    </row>
    <row r="437" spans="5:13" ht="15.6" hidden="1" customHeight="1" x14ac:dyDescent="0.3">
      <c r="E437"/>
      <c r="F437"/>
      <c r="G437"/>
      <c r="H437"/>
      <c r="I437"/>
      <c r="J437"/>
      <c r="K437"/>
      <c r="L437"/>
      <c r="M437"/>
    </row>
    <row r="438" spans="5:13" ht="15.6" hidden="1" customHeight="1" x14ac:dyDescent="0.3">
      <c r="E438"/>
      <c r="F438"/>
      <c r="G438"/>
      <c r="H438"/>
      <c r="I438"/>
      <c r="J438"/>
      <c r="K438"/>
      <c r="L438"/>
      <c r="M438"/>
    </row>
    <row r="439" spans="5:13" ht="15.6" hidden="1" customHeight="1" x14ac:dyDescent="0.3">
      <c r="E439"/>
      <c r="F439"/>
      <c r="G439"/>
      <c r="H439"/>
      <c r="I439"/>
      <c r="J439"/>
      <c r="K439"/>
      <c r="L439"/>
      <c r="M439"/>
    </row>
    <row r="440" spans="5:13" ht="15.6" hidden="1" customHeight="1" x14ac:dyDescent="0.3">
      <c r="E440"/>
      <c r="F440"/>
      <c r="G440"/>
      <c r="H440"/>
      <c r="I440"/>
      <c r="J440"/>
      <c r="K440"/>
      <c r="L440"/>
      <c r="M440"/>
    </row>
    <row r="441" spans="5:13" ht="15.6" hidden="1" customHeight="1" x14ac:dyDescent="0.3">
      <c r="E441"/>
      <c r="F441"/>
      <c r="G441"/>
      <c r="H441"/>
      <c r="I441"/>
      <c r="J441"/>
      <c r="K441"/>
      <c r="L441"/>
      <c r="M441"/>
    </row>
    <row r="442" spans="5:13" x14ac:dyDescent="0.3"/>
    <row r="443" spans="5:13" x14ac:dyDescent="0.3"/>
    <row r="444" spans="5:13" x14ac:dyDescent="0.3"/>
    <row r="445" spans="5:13" x14ac:dyDescent="0.3"/>
    <row r="446" spans="5:13" x14ac:dyDescent="0.3"/>
    <row r="447" spans="5:13" x14ac:dyDescent="0.3"/>
    <row r="448" spans="5:13" x14ac:dyDescent="0.3"/>
    <row r="449" x14ac:dyDescent="0.3"/>
    <row r="450" x14ac:dyDescent="0.3"/>
    <row r="451" x14ac:dyDescent="0.3"/>
    <row r="452" x14ac:dyDescent="0.3"/>
    <row r="453" x14ac:dyDescent="0.3"/>
    <row r="454" x14ac:dyDescent="0.3"/>
  </sheetData>
  <mergeCells count="118">
    <mergeCell ref="E23:G23"/>
    <mergeCell ref="F48:G48"/>
    <mergeCell ref="E49:G49"/>
    <mergeCell ref="F58:G58"/>
    <mergeCell ref="E59:G59"/>
    <mergeCell ref="E60:G60"/>
    <mergeCell ref="A1:L3"/>
    <mergeCell ref="F7:G7"/>
    <mergeCell ref="E8:G8"/>
    <mergeCell ref="F15:G15"/>
    <mergeCell ref="E16:G16"/>
    <mergeCell ref="F22:G22"/>
    <mergeCell ref="F86:G86"/>
    <mergeCell ref="E87:G87"/>
    <mergeCell ref="F93:G93"/>
    <mergeCell ref="E94:G94"/>
    <mergeCell ref="F101:G101"/>
    <mergeCell ref="E102:G102"/>
    <mergeCell ref="F66:G66"/>
    <mergeCell ref="E67:G67"/>
    <mergeCell ref="E68:G68"/>
    <mergeCell ref="E70:G70"/>
    <mergeCell ref="F78:G78"/>
    <mergeCell ref="E79:G79"/>
    <mergeCell ref="F129:G129"/>
    <mergeCell ref="E130:G130"/>
    <mergeCell ref="F136:G136"/>
    <mergeCell ref="E137:G137"/>
    <mergeCell ref="F143:G143"/>
    <mergeCell ref="E144:G144"/>
    <mergeCell ref="F111:G111"/>
    <mergeCell ref="E112:G112"/>
    <mergeCell ref="F116:G116"/>
    <mergeCell ref="E117:G117"/>
    <mergeCell ref="F123:G123"/>
    <mergeCell ref="E124:G124"/>
    <mergeCell ref="E161:G161"/>
    <mergeCell ref="F167:G167"/>
    <mergeCell ref="E168:G168"/>
    <mergeCell ref="F172:G172"/>
    <mergeCell ref="E173:G173"/>
    <mergeCell ref="F177:G177"/>
    <mergeCell ref="E145:G145"/>
    <mergeCell ref="F151:G151"/>
    <mergeCell ref="E152:G152"/>
    <mergeCell ref="E153:G153"/>
    <mergeCell ref="E155:G155"/>
    <mergeCell ref="F160:G160"/>
    <mergeCell ref="E196:G196"/>
    <mergeCell ref="F201:G201"/>
    <mergeCell ref="E202:G202"/>
    <mergeCell ref="F213:G213"/>
    <mergeCell ref="E214:G214"/>
    <mergeCell ref="F221:G221"/>
    <mergeCell ref="E178:G178"/>
    <mergeCell ref="F183:G183"/>
    <mergeCell ref="E184:G184"/>
    <mergeCell ref="F190:G190"/>
    <mergeCell ref="E191:G191"/>
    <mergeCell ref="F195:G195"/>
    <mergeCell ref="E242:G242"/>
    <mergeCell ref="F246:G246"/>
    <mergeCell ref="E247:G247"/>
    <mergeCell ref="F256:G256"/>
    <mergeCell ref="E257:G257"/>
    <mergeCell ref="F262:G262"/>
    <mergeCell ref="E222:G222"/>
    <mergeCell ref="F227:G227"/>
    <mergeCell ref="E228:G228"/>
    <mergeCell ref="F235:G235"/>
    <mergeCell ref="E236:G236"/>
    <mergeCell ref="F241:G241"/>
    <mergeCell ref="E278:G278"/>
    <mergeCell ref="F282:G282"/>
    <mergeCell ref="E283:G283"/>
    <mergeCell ref="F287:G287"/>
    <mergeCell ref="E288:G288"/>
    <mergeCell ref="F292:G292"/>
    <mergeCell ref="E263:G263"/>
    <mergeCell ref="F267:G267"/>
    <mergeCell ref="E268:G268"/>
    <mergeCell ref="F272:G272"/>
    <mergeCell ref="E273:G273"/>
    <mergeCell ref="F277:G277"/>
    <mergeCell ref="E307:G307"/>
    <mergeCell ref="F311:G311"/>
    <mergeCell ref="E312:G312"/>
    <mergeCell ref="F316:G316"/>
    <mergeCell ref="E317:G317"/>
    <mergeCell ref="F321:G321"/>
    <mergeCell ref="E293:G293"/>
    <mergeCell ref="F297:G297"/>
    <mergeCell ref="E298:G298"/>
    <mergeCell ref="F302:G302"/>
    <mergeCell ref="E303:G303"/>
    <mergeCell ref="F306:G306"/>
    <mergeCell ref="E337:G337"/>
    <mergeCell ref="F341:G341"/>
    <mergeCell ref="E342:G342"/>
    <mergeCell ref="F346:G346"/>
    <mergeCell ref="E347:G347"/>
    <mergeCell ref="F351:G351"/>
    <mergeCell ref="E322:G322"/>
    <mergeCell ref="F326:G326"/>
    <mergeCell ref="E327:G327"/>
    <mergeCell ref="F331:G331"/>
    <mergeCell ref="E332:G332"/>
    <mergeCell ref="F336:G336"/>
    <mergeCell ref="J382:L382"/>
    <mergeCell ref="E352:G352"/>
    <mergeCell ref="F356:G356"/>
    <mergeCell ref="E357:G357"/>
    <mergeCell ref="F361:G361"/>
    <mergeCell ref="E362:G362"/>
    <mergeCell ref="F366:G366"/>
    <mergeCell ref="E367:G367"/>
    <mergeCell ref="F371:G371"/>
    <mergeCell ref="E372:G372"/>
  </mergeCells>
  <conditionalFormatting sqref="K7">
    <cfRule type="expression" dxfId="52" priority="52" stopIfTrue="1">
      <formula>AND(ISNUMBER(K7),K7&lt;&gt;0)</formula>
    </cfRule>
  </conditionalFormatting>
  <conditionalFormatting sqref="K15">
    <cfRule type="expression" dxfId="51" priority="53" stopIfTrue="1">
      <formula>AND(ISNUMBER(K15),K15&lt;&gt;0)</formula>
    </cfRule>
  </conditionalFormatting>
  <conditionalFormatting sqref="K22">
    <cfRule type="expression" dxfId="50" priority="51" stopIfTrue="1">
      <formula>AND(ISNUMBER(K22),K22&lt;&gt;0)</formula>
    </cfRule>
  </conditionalFormatting>
  <conditionalFormatting sqref="K48">
    <cfRule type="expression" dxfId="49" priority="50" stopIfTrue="1">
      <formula>AND(ISNUMBER(K48),K48&lt;&gt;0)</formula>
    </cfRule>
  </conditionalFormatting>
  <conditionalFormatting sqref="K69">
    <cfRule type="expression" dxfId="48" priority="49" stopIfTrue="1">
      <formula>AND(ISNUMBER(K69),K69&lt;&gt;0)</formula>
    </cfRule>
  </conditionalFormatting>
  <conditionalFormatting sqref="K78">
    <cfRule type="expression" dxfId="47" priority="48" stopIfTrue="1">
      <formula>AND(ISNUMBER(K78),K78&lt;&gt;0)</formula>
    </cfRule>
  </conditionalFormatting>
  <conditionalFormatting sqref="K86">
    <cfRule type="expression" dxfId="46" priority="47" stopIfTrue="1">
      <formula>AND(ISNUMBER(K86),K86&lt;&gt;0)</formula>
    </cfRule>
  </conditionalFormatting>
  <conditionalFormatting sqref="K93">
    <cfRule type="expression" dxfId="45" priority="46" stopIfTrue="1">
      <formula>AND(ISNUMBER(K93),K93&lt;&gt;0)</formula>
    </cfRule>
  </conditionalFormatting>
  <conditionalFormatting sqref="K101">
    <cfRule type="expression" dxfId="44" priority="45" stopIfTrue="1">
      <formula>AND(ISNUMBER(K101),K101&lt;&gt;0)</formula>
    </cfRule>
  </conditionalFormatting>
  <conditionalFormatting sqref="K111">
    <cfRule type="expression" dxfId="43" priority="44" stopIfTrue="1">
      <formula>AND(ISNUMBER(K111),K111&lt;&gt;0)</formula>
    </cfRule>
  </conditionalFormatting>
  <conditionalFormatting sqref="K116">
    <cfRule type="expression" dxfId="42" priority="43" stopIfTrue="1">
      <formula>AND(ISNUMBER(K116),K116&lt;&gt;0)</formula>
    </cfRule>
  </conditionalFormatting>
  <conditionalFormatting sqref="K123">
    <cfRule type="expression" dxfId="41" priority="42" stopIfTrue="1">
      <formula>AND(ISNUMBER(K123),K123&lt;&gt;0)</formula>
    </cfRule>
  </conditionalFormatting>
  <conditionalFormatting sqref="K129">
    <cfRule type="expression" dxfId="40" priority="41" stopIfTrue="1">
      <formula>AND(ISNUMBER(K129),K129&lt;&gt;0)</formula>
    </cfRule>
  </conditionalFormatting>
  <conditionalFormatting sqref="K136">
    <cfRule type="expression" dxfId="39" priority="40" stopIfTrue="1">
      <formula>AND(ISNUMBER(K136),K136&lt;&gt;0)</formula>
    </cfRule>
  </conditionalFormatting>
  <conditionalFormatting sqref="K154">
    <cfRule type="expression" dxfId="38" priority="39" stopIfTrue="1">
      <formula>AND(ISNUMBER(K154),K154&lt;&gt;0)</formula>
    </cfRule>
  </conditionalFormatting>
  <conditionalFormatting sqref="K160">
    <cfRule type="expression" dxfId="37" priority="38" stopIfTrue="1">
      <formula>AND(ISNUMBER(K160),K160&lt;&gt;0)</formula>
    </cfRule>
  </conditionalFormatting>
  <conditionalFormatting sqref="K167">
    <cfRule type="expression" dxfId="36" priority="37" stopIfTrue="1">
      <formula>AND(ISNUMBER(K167),K167&lt;&gt;0)</formula>
    </cfRule>
  </conditionalFormatting>
  <conditionalFormatting sqref="K172">
    <cfRule type="expression" dxfId="35" priority="36" stopIfTrue="1">
      <formula>AND(ISNUMBER(K172),K172&lt;&gt;0)</formula>
    </cfRule>
  </conditionalFormatting>
  <conditionalFormatting sqref="K177">
    <cfRule type="expression" dxfId="34" priority="35" stopIfTrue="1">
      <formula>AND(ISNUMBER(K177),K177&lt;&gt;0)</formula>
    </cfRule>
  </conditionalFormatting>
  <conditionalFormatting sqref="K183">
    <cfRule type="expression" dxfId="33" priority="34" stopIfTrue="1">
      <formula>AND(ISNUMBER(K183),K183&lt;&gt;0)</formula>
    </cfRule>
  </conditionalFormatting>
  <conditionalFormatting sqref="K190">
    <cfRule type="expression" dxfId="32" priority="33" stopIfTrue="1">
      <formula>AND(ISNUMBER(K190),K190&lt;&gt;0)</formula>
    </cfRule>
  </conditionalFormatting>
  <conditionalFormatting sqref="K195">
    <cfRule type="expression" dxfId="31" priority="32" stopIfTrue="1">
      <formula>AND(ISNUMBER(K195),K195&lt;&gt;0)</formula>
    </cfRule>
  </conditionalFormatting>
  <conditionalFormatting sqref="K201">
    <cfRule type="expression" dxfId="30" priority="31" stopIfTrue="1">
      <formula>AND(ISNUMBER(K201),K201&lt;&gt;0)</formula>
    </cfRule>
  </conditionalFormatting>
  <conditionalFormatting sqref="K213">
    <cfRule type="expression" dxfId="29" priority="30" stopIfTrue="1">
      <formula>AND(ISNUMBER(K213),K213&lt;&gt;0)</formula>
    </cfRule>
  </conditionalFormatting>
  <conditionalFormatting sqref="K221">
    <cfRule type="expression" dxfId="28" priority="29" stopIfTrue="1">
      <formula>AND(ISNUMBER(K221),K221&lt;&gt;0)</formula>
    </cfRule>
  </conditionalFormatting>
  <conditionalFormatting sqref="K227">
    <cfRule type="expression" dxfId="27" priority="28" stopIfTrue="1">
      <formula>AND(ISNUMBER(K227),K227&lt;&gt;0)</formula>
    </cfRule>
  </conditionalFormatting>
  <conditionalFormatting sqref="K235">
    <cfRule type="expression" dxfId="26" priority="27" stopIfTrue="1">
      <formula>AND(ISNUMBER(K235),K235&lt;&gt;0)</formula>
    </cfRule>
  </conditionalFormatting>
  <conditionalFormatting sqref="K241">
    <cfRule type="expression" dxfId="25" priority="26" stopIfTrue="1">
      <formula>AND(ISNUMBER(K241),K241&lt;&gt;0)</formula>
    </cfRule>
  </conditionalFormatting>
  <conditionalFormatting sqref="K246">
    <cfRule type="expression" dxfId="24" priority="25" stopIfTrue="1">
      <formula>AND(ISNUMBER(K246),K246&lt;&gt;0)</formula>
    </cfRule>
  </conditionalFormatting>
  <conditionalFormatting sqref="K256">
    <cfRule type="expression" dxfId="23" priority="24" stopIfTrue="1">
      <formula>AND(ISNUMBER(K256),K256&lt;&gt;0)</formula>
    </cfRule>
  </conditionalFormatting>
  <conditionalFormatting sqref="K262">
    <cfRule type="expression" dxfId="22" priority="23" stopIfTrue="1">
      <formula>AND(ISNUMBER(K262),K262&lt;&gt;0)</formula>
    </cfRule>
  </conditionalFormatting>
  <conditionalFormatting sqref="K267">
    <cfRule type="expression" dxfId="21" priority="22" stopIfTrue="1">
      <formula>AND(ISNUMBER(K267),K267&lt;&gt;0)</formula>
    </cfRule>
  </conditionalFormatting>
  <conditionalFormatting sqref="K272">
    <cfRule type="expression" dxfId="20" priority="21" stopIfTrue="1">
      <formula>AND(ISNUMBER(K272),K272&lt;&gt;0)</formula>
    </cfRule>
  </conditionalFormatting>
  <conditionalFormatting sqref="K277">
    <cfRule type="expression" dxfId="19" priority="20" stopIfTrue="1">
      <formula>AND(ISNUMBER(K277),K277&lt;&gt;0)</formula>
    </cfRule>
  </conditionalFormatting>
  <conditionalFormatting sqref="K282">
    <cfRule type="expression" dxfId="18" priority="19" stopIfTrue="1">
      <formula>AND(ISNUMBER(K282),K282&lt;&gt;0)</formula>
    </cfRule>
  </conditionalFormatting>
  <conditionalFormatting sqref="K287">
    <cfRule type="expression" dxfId="17" priority="18" stopIfTrue="1">
      <formula>AND(ISNUMBER(K287),K287&lt;&gt;0)</formula>
    </cfRule>
  </conditionalFormatting>
  <conditionalFormatting sqref="K292">
    <cfRule type="expression" dxfId="16" priority="17" stopIfTrue="1">
      <formula>AND(ISNUMBER(K292),K292&lt;&gt;0)</formula>
    </cfRule>
  </conditionalFormatting>
  <conditionalFormatting sqref="K297">
    <cfRule type="expression" dxfId="15" priority="16" stopIfTrue="1">
      <formula>AND(ISNUMBER(K297),K297&lt;&gt;0)</formula>
    </cfRule>
  </conditionalFormatting>
  <conditionalFormatting sqref="K302">
    <cfRule type="expression" dxfId="14" priority="15" stopIfTrue="1">
      <formula>AND(ISNUMBER(K302),K302&lt;&gt;0)</formula>
    </cfRule>
  </conditionalFormatting>
  <conditionalFormatting sqref="K306">
    <cfRule type="expression" dxfId="13" priority="14" stopIfTrue="1">
      <formula>AND(ISNUMBER(K306),K306&lt;&gt;0)</formula>
    </cfRule>
  </conditionalFormatting>
  <conditionalFormatting sqref="K311">
    <cfRule type="expression" dxfId="12" priority="13" stopIfTrue="1">
      <formula>AND(ISNUMBER(K311),K311&lt;&gt;0)</formula>
    </cfRule>
  </conditionalFormatting>
  <conditionalFormatting sqref="K316">
    <cfRule type="expression" dxfId="11" priority="12" stopIfTrue="1">
      <formula>AND(ISNUMBER(K316),K316&lt;&gt;0)</formula>
    </cfRule>
  </conditionalFormatting>
  <conditionalFormatting sqref="K321">
    <cfRule type="expression" dxfId="10" priority="11" stopIfTrue="1">
      <formula>AND(ISNUMBER(K321),K321&lt;&gt;0)</formula>
    </cfRule>
  </conditionalFormatting>
  <conditionalFormatting sqref="K326">
    <cfRule type="expression" dxfId="9" priority="10" stopIfTrue="1">
      <formula>AND(ISNUMBER(K326),K326&lt;&gt;0)</formula>
    </cfRule>
  </conditionalFormatting>
  <conditionalFormatting sqref="K331">
    <cfRule type="expression" dxfId="8" priority="9" stopIfTrue="1">
      <formula>AND(ISNUMBER(K331),K331&lt;&gt;0)</formula>
    </cfRule>
  </conditionalFormatting>
  <conditionalFormatting sqref="K336">
    <cfRule type="expression" dxfId="7" priority="8" stopIfTrue="1">
      <formula>AND(ISNUMBER(K336),K336&lt;&gt;0)</formula>
    </cfRule>
  </conditionalFormatting>
  <conditionalFormatting sqref="K341">
    <cfRule type="expression" dxfId="6" priority="7" stopIfTrue="1">
      <formula>AND(ISNUMBER(K341),K341&lt;&gt;0)</formula>
    </cfRule>
  </conditionalFormatting>
  <conditionalFormatting sqref="K346">
    <cfRule type="expression" dxfId="5" priority="6" stopIfTrue="1">
      <formula>AND(ISNUMBER(K346),K346&lt;&gt;0)</formula>
    </cfRule>
  </conditionalFormatting>
  <conditionalFormatting sqref="K351">
    <cfRule type="expression" dxfId="4" priority="5" stopIfTrue="1">
      <formula>AND(ISNUMBER(K351),K351&lt;&gt;0)</formula>
    </cfRule>
  </conditionalFormatting>
  <conditionalFormatting sqref="K356">
    <cfRule type="expression" dxfId="3" priority="4" stopIfTrue="1">
      <formula>AND(ISNUMBER(K356),K356&lt;&gt;0)</formula>
    </cfRule>
  </conditionalFormatting>
  <conditionalFormatting sqref="K361">
    <cfRule type="expression" dxfId="2" priority="3" stopIfTrue="1">
      <formula>AND(ISNUMBER(K361),K361&lt;&gt;0)</formula>
    </cfRule>
  </conditionalFormatting>
  <conditionalFormatting sqref="K366">
    <cfRule type="expression" dxfId="1" priority="2" stopIfTrue="1">
      <formula>AND(ISNUMBER(K366),K366&lt;&gt;0)</formula>
    </cfRule>
  </conditionalFormatting>
  <conditionalFormatting sqref="K371">
    <cfRule type="expression" dxfId="0" priority="1" stopIfTrue="1">
      <formula>AND(ISNUMBER(K371),K371&lt;&gt;0)</formula>
    </cfRule>
  </conditionalFormatting>
  <dataValidations count="5">
    <dataValidation type="list" allowBlank="1" showInputMessage="1" showErrorMessage="1" sqref="J362" xr:uid="{743F2A35-95C2-41C9-9317-BCBC921A9D0D}">
      <formula1>"Through Rate,Material Rate"</formula1>
    </dataValidation>
    <dataValidation type="list" allowBlank="1" showInputMessage="1" showErrorMessage="1" sqref="J372 J367 J357 J352 J347 J342 J337 J332 J327 J322 J317 J312 J307 J303 J298 J293 J288 J283 J278 J273 J268 J263 J257 J247 J242 J236 J228 J202 J196 J184 J173 J168 J161 J137 J130 J124 J117 J102 J87 J79 J23" xr:uid="{A0FBFAB5-F06D-4916-AC92-F89699317380}">
      <formula1>"Through Rate,Material Rate,Labour Rate"</formula1>
    </dataValidation>
    <dataValidation type="list" allowBlank="1" showInputMessage="1" showErrorMessage="1" sqref="J222 J214 J191 J178 J155 J112 J94 J70 J49" xr:uid="{8D261620-841F-40D7-A138-E447C6F04280}">
      <formula1>"Through rates Amnd,Through Rate,Material rates Amnd,Material Rate,Labour rates Amnd,Labour Rate"</formula1>
    </dataValidation>
    <dataValidation type="list" allowBlank="1" showInputMessage="1" showErrorMessage="1" sqref="J8" xr:uid="{24E97F9E-29AC-4923-B19C-7DAA2378F0E3}">
      <formula1>"Through Rate,Labour Rate"</formula1>
    </dataValidation>
    <dataValidation type="list" allowBlank="1" showInputMessage="1" showErrorMessage="1" sqref="J16" xr:uid="{6003363C-B95D-48E6-9206-8215730F3D88}">
      <formula1>"Through Rate,Labour Rate,Machinery Rate"</formula1>
    </dataValidation>
  </dataValidations>
  <pageMargins left="0.35" right="0.37" top="0.55000000000000004" bottom="0.54" header="0.3" footer="0.3"/>
  <pageSetup paperSize="9" scale="53"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Building</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GarG BroThers</dc:creator>
  <cp:lastModifiedBy>GarG BroThers</cp:lastModifiedBy>
  <dcterms:created xsi:type="dcterms:W3CDTF">2025-12-29T05:11:16Z</dcterms:created>
  <dcterms:modified xsi:type="dcterms:W3CDTF">2025-12-29T21:17:27Z</dcterms:modified>
</cp:coreProperties>
</file>