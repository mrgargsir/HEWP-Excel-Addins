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mrgar\Downloads\"/>
    </mc:Choice>
  </mc:AlternateContent>
  <xr:revisionPtr revIDLastSave="0" documentId="13_ncr:1_{10CCB274-50F2-4089-8220-9E3592F86DCD}" xr6:coauthVersionLast="47" xr6:coauthVersionMax="47" xr10:uidLastSave="{00000000-0000-0000-0000-000000000000}"/>
  <bookViews>
    <workbookView xWindow="-108" yWindow="-108" windowWidth="23256" windowHeight="12456" xr2:uid="{E5F98C47-C66C-459E-A9B1-29537615F358}"/>
  </bookViews>
  <sheets>
    <sheet name="IPB Street"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7" i="2" l="1"/>
  <c r="A15" i="2" s="1"/>
  <c r="K12" i="2"/>
  <c r="K13" i="2"/>
  <c r="K18" i="2"/>
  <c r="K19" i="2"/>
  <c r="K24" i="2"/>
  <c r="K25" i="2"/>
  <c r="K32" i="2"/>
  <c r="K33" i="2"/>
  <c r="K40" i="2"/>
  <c r="K41" i="2"/>
  <c r="K48" i="2"/>
  <c r="K49" i="2"/>
  <c r="K56" i="2"/>
  <c r="K57" i="2"/>
  <c r="H11" i="2"/>
  <c r="H10" i="2"/>
  <c r="H9" i="2"/>
  <c r="H8" i="2"/>
  <c r="H17" i="2"/>
  <c r="H16" i="2"/>
  <c r="H18" i="2" s="1"/>
  <c r="H19" i="2" s="1"/>
  <c r="L19" i="2" s="1"/>
  <c r="H23" i="2"/>
  <c r="H22" i="2"/>
  <c r="H31" i="2"/>
  <c r="H30" i="2"/>
  <c r="H29" i="2"/>
  <c r="H28" i="2"/>
  <c r="H39" i="2"/>
  <c r="H38" i="2"/>
  <c r="H37" i="2"/>
  <c r="H36" i="2"/>
  <c r="H40" i="2" s="1"/>
  <c r="H41" i="2" s="1"/>
  <c r="L41" i="2" s="1"/>
  <c r="H47" i="2"/>
  <c r="H46" i="2"/>
  <c r="H45" i="2"/>
  <c r="H44" i="2"/>
  <c r="H55" i="2"/>
  <c r="H54" i="2"/>
  <c r="H53" i="2"/>
  <c r="H52" i="2"/>
  <c r="H48" i="2" l="1"/>
  <c r="H49" i="2" s="1"/>
  <c r="L49" i="2" s="1"/>
  <c r="H12" i="2"/>
  <c r="H13" i="2" s="1"/>
  <c r="L13" i="2" s="1"/>
  <c r="A21" i="2"/>
  <c r="H32" i="2"/>
  <c r="H33" i="2" s="1"/>
  <c r="L33" i="2" s="1"/>
  <c r="H56" i="2"/>
  <c r="H57" i="2" s="1"/>
  <c r="L57" i="2" s="1"/>
  <c r="H24" i="2"/>
  <c r="H25" i="2" s="1"/>
  <c r="L25" i="2" s="1"/>
  <c r="L59" i="2" l="1"/>
  <c r="L60" i="2" s="1"/>
  <c r="L61" i="2" s="1"/>
  <c r="A27" i="2"/>
  <c r="A35" i="2" s="1"/>
  <c r="L62" i="2" l="1"/>
  <c r="L63" i="2" s="1"/>
  <c r="J65" i="2" s="1"/>
  <c r="A43" i="2"/>
  <c r="A51" i="2" s="1"/>
</calcChain>
</file>

<file path=xl/sharedStrings.xml><?xml version="1.0" encoding="utf-8"?>
<sst xmlns="http://schemas.openxmlformats.org/spreadsheetml/2006/main" count="97" uniqueCount="50">
  <si>
    <t>IPB Street 27 feet</t>
  </si>
  <si>
    <t>Sr No</t>
  </si>
  <si>
    <t>HSR
Item No</t>
  </si>
  <si>
    <t>Description</t>
  </si>
  <si>
    <t>Nos</t>
  </si>
  <si>
    <t>Length</t>
  </si>
  <si>
    <t>Breadth</t>
  </si>
  <si>
    <t>Depth</t>
  </si>
  <si>
    <t>Quantity</t>
  </si>
  <si>
    <t>Unit</t>
  </si>
  <si>
    <t>Rate Type</t>
  </si>
  <si>
    <t>Rate</t>
  </si>
  <si>
    <t>Amount</t>
  </si>
  <si>
    <t>4.4.1</t>
  </si>
  <si>
    <t>sft</t>
  </si>
  <si>
    <t>Total (sft)</t>
  </si>
  <si>
    <t>Total (sqm)</t>
  </si>
  <si>
    <t>sqm</t>
  </si>
  <si>
    <t>Labour Rate</t>
  </si>
  <si>
    <t>7.21.2</t>
  </si>
  <si>
    <t>drain work bad</t>
  </si>
  <si>
    <t>cft</t>
  </si>
  <si>
    <t>Total (cft)</t>
  </si>
  <si>
    <t>Total (cum)</t>
  </si>
  <si>
    <t>cum</t>
  </si>
  <si>
    <t>Labour Rate Amnd</t>
  </si>
  <si>
    <t>6.1.2</t>
  </si>
  <si>
    <t>form work</t>
  </si>
  <si>
    <t xml:space="preserve">d/d of form </t>
  </si>
  <si>
    <t>17.23.1</t>
  </si>
  <si>
    <t>Labour + Machinery Rate Amnd</t>
  </si>
  <si>
    <t>14.1</t>
  </si>
  <si>
    <t>17.69.2</t>
  </si>
  <si>
    <t>10.8</t>
  </si>
  <si>
    <t>End</t>
  </si>
  <si>
    <t>Total</t>
  </si>
  <si>
    <t>Add 18% GST</t>
  </si>
  <si>
    <t>Total Amount</t>
  </si>
  <si>
    <t>Add 1% Contigency</t>
  </si>
  <si>
    <t>GRAND TOTAL</t>
  </si>
  <si>
    <t xml:space="preserve"> .</t>
  </si>
  <si>
    <t xml:space="preserve">Say Rs. : </t>
  </si>
  <si>
    <t xml:space="preserve">10.8: Flooring and Dados CEMENT CONCRETE FLOORING Providing and laying of conglomerate floor 40mm thick cement concrete topping 1:2:4
</t>
  </si>
  <si>
    <r>
      <t xml:space="preserve">17.69: Road Works MAINTENANCE OF ROADS Interlocking Concrete Block Pavement
</t>
    </r>
    <r>
      <rPr>
        <b/>
        <i/>
        <sz val="9"/>
        <color rgb="FF8B0000"/>
        <rFont val="Times New Roman"/>
        <family val="1"/>
      </rPr>
      <t xml:space="preserve">17.69.2: Providing and Laying 80 mm thick ISI marked Interlocking Paver Blocks conforming to IS 15658:2006/IRC SP 63: 2004 of all shapes and colours in design mix cement M 40 over the bed of 30 mm thick fine sand complete in all respect.
</t>
    </r>
  </si>
  <si>
    <t xml:space="preserve">14.1: Lining and Outlets A Lining Dressing bed and preparation of sub grade for lining by mechanical/ mannual means
</t>
  </si>
  <si>
    <r>
      <t xml:space="preserve">17.23: Road Works Clearing and Grubbing Road Land . Water Bound Macadam Grading - II
</t>
    </r>
    <r>
      <rPr>
        <b/>
        <i/>
        <sz val="9"/>
        <color rgb="FF8B0000"/>
        <rFont val="Aptos Narrow"/>
        <family val="2"/>
        <scheme val="minor"/>
      </rPr>
      <t xml:space="preserve">17.23.1: Water Bound Macadam (63mm to 45 mm) Grading I with screening Type 'A' (13.2 mm aggregates) Providing, laying, spreading and compacting stone aggregates of specific sizes to water bound macadam specification including spreading in uniform thickness, hand packing, rolling with 3 wheeled steel/ vibratory roller 8-10 tonnes in stages to proper grade and camber, applying and brooming requisite type of screening/ binding Materials to fill up the interstices of coarse aggregate, watering and compacting to the required density complete as per technical clause 404 of MORT&amp;H specifications
</t>
    </r>
  </si>
  <si>
    <t>Cum</t>
  </si>
  <si>
    <r>
      <t xml:space="preserve">6.1: Concrete and RCC Work A CEMENT CONCRETE (CAST IN SITU) Providing and laying in position cement concrete of specified grade excluding the cost of centering and shuttering - All work below plinth level and up to Floor IV level:
</t>
    </r>
    <r>
      <rPr>
        <b/>
        <i/>
        <sz val="9"/>
        <color rgb="FF8B0000"/>
        <rFont val="Times New Roman"/>
        <family val="1"/>
      </rPr>
      <t xml:space="preserve">6.1.2: 1:2:4 (1 cement : 2 coarse sand (zone-III) : 4 graded stone aggregate 20 mm nominal size)
</t>
    </r>
  </si>
  <si>
    <r>
      <t xml:space="preserve">7.21: Brick work with common burnt clay non- modular bricks of class designation 10.5 in foundation and plinth in:
</t>
    </r>
    <r>
      <rPr>
        <b/>
        <i/>
        <sz val="9"/>
        <color rgb="FF8B0000"/>
        <rFont val="Times New Roman"/>
        <family val="1"/>
      </rPr>
      <t xml:space="preserve">7.21.2: Cement mortar 1:6 (1 cement : 6 coarse sand)
</t>
    </r>
  </si>
  <si>
    <r>
      <t xml:space="preserve">4.4: Earth Work and Rock Cutting Surface dressing of the ground including removing vegetation and in-equalities not exceeding 15 cm deep and disposal of rubbish, lead up to 50 m and lift up to 1.5 m.
</t>
    </r>
    <r>
      <rPr>
        <b/>
        <i/>
        <sz val="9"/>
        <color rgb="FF8B0000"/>
        <rFont val="Aptos Narrow"/>
        <family val="2"/>
        <scheme val="minor"/>
      </rPr>
      <t xml:space="preserve">4.4.1: All kinds of soil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</si>
</sst>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quot;&quot;"/>
    <numFmt numFmtId="166" formatCode="_(* #,##0_);_(* \(#,##0\);_(* &quot;-&quot;??_);_(@_)"/>
  </numFmts>
  <fonts count="16" x14ac:knownFonts="1">
    <font>
      <sz val="11"/>
      <color theme="1"/>
      <name val="Aptos Narrow"/>
      <family val="2"/>
      <scheme val="minor"/>
    </font>
    <font>
      <b/>
      <sz val="11"/>
      <color theme="1"/>
      <name val="Aptos Narrow"/>
      <family val="2"/>
      <scheme val="minor"/>
    </font>
    <font>
      <b/>
      <sz val="20"/>
      <name val="Times New Roman"/>
      <family val="1"/>
    </font>
    <font>
      <sz val="12"/>
      <name val="Times New Roman"/>
      <family val="1"/>
    </font>
    <font>
      <b/>
      <sz val="14"/>
      <name val="Times New Roman"/>
      <family val="1"/>
    </font>
    <font>
      <b/>
      <sz val="12"/>
      <name val="Times New Roman"/>
      <family val="1"/>
    </font>
    <font>
      <b/>
      <i/>
      <sz val="10"/>
      <color rgb="FF006400"/>
      <name val="Aptos Narrow"/>
      <family val="2"/>
      <scheme val="minor"/>
    </font>
    <font>
      <b/>
      <i/>
      <sz val="9"/>
      <color rgb="FF8B0000"/>
      <name val="Aptos Narrow"/>
      <family val="2"/>
      <scheme val="minor"/>
    </font>
    <font>
      <b/>
      <i/>
      <sz val="10"/>
      <color rgb="FF006400"/>
      <name val="Times New Roman"/>
      <family val="1"/>
    </font>
    <font>
      <b/>
      <i/>
      <sz val="9"/>
      <color rgb="FF8B0000"/>
      <name val="Times New Roman"/>
      <family val="1"/>
    </font>
    <font>
      <sz val="12"/>
      <name val="Aptos Narrow"/>
      <family val="2"/>
      <scheme val="minor"/>
    </font>
    <font>
      <b/>
      <sz val="11"/>
      <color rgb="FF000000"/>
      <name val="Times New Roman"/>
      <family val="1"/>
    </font>
    <font>
      <b/>
      <sz val="11"/>
      <color rgb="FF000000"/>
      <name val="Aptos Narrow"/>
      <family val="2"/>
      <scheme val="minor"/>
    </font>
    <font>
      <b/>
      <sz val="11"/>
      <color theme="1"/>
      <name val="Times New Roman"/>
      <family val="1"/>
    </font>
    <font>
      <b/>
      <i/>
      <sz val="14"/>
      <color rgb="FF000000"/>
      <name val="Times New Roman"/>
      <family val="1"/>
    </font>
    <font>
      <sz val="11"/>
      <color theme="1"/>
      <name val="Times New Roman"/>
      <family val="1"/>
    </font>
  </fonts>
  <fills count="10">
    <fill>
      <patternFill patternType="none"/>
    </fill>
    <fill>
      <patternFill patternType="gray125"/>
    </fill>
    <fill>
      <patternFill patternType="solid">
        <fgColor rgb="FFFFFFC8"/>
        <bgColor indexed="64"/>
      </patternFill>
    </fill>
    <fill>
      <patternFill patternType="solid">
        <fgColor rgb="FFC8FFC8"/>
        <bgColor indexed="64"/>
      </patternFill>
    </fill>
    <fill>
      <patternFill patternType="solid">
        <fgColor rgb="FFFFE6C8"/>
        <bgColor indexed="64"/>
      </patternFill>
    </fill>
    <fill>
      <patternFill patternType="solid">
        <fgColor theme="0"/>
        <bgColor indexed="64"/>
      </patternFill>
    </fill>
    <fill>
      <patternFill patternType="solid">
        <fgColor rgb="FFDCFFDC"/>
        <bgColor indexed="64"/>
      </patternFill>
    </fill>
    <fill>
      <patternFill patternType="solid">
        <fgColor rgb="FFDCE6FF"/>
        <bgColor indexed="64"/>
      </patternFill>
    </fill>
    <fill>
      <patternFill patternType="solid">
        <fgColor rgb="FFF0F0F0"/>
        <bgColor indexed="64"/>
      </patternFill>
    </fill>
    <fill>
      <patternFill patternType="solid">
        <fgColor rgb="FFFFFF99"/>
        <bgColor indexed="64"/>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top/>
      <bottom style="thick">
        <color auto="1"/>
      </bottom>
      <diagonal/>
    </border>
    <border>
      <left/>
      <right style="thin">
        <color indexed="64"/>
      </right>
      <top/>
      <bottom style="thick">
        <color indexed="64"/>
      </bottom>
      <diagonal/>
    </border>
    <border>
      <left style="thick">
        <color auto="1"/>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top style="thin">
        <color indexed="64"/>
      </top>
      <bottom style="thin">
        <color indexed="64"/>
      </bottom>
      <diagonal/>
    </border>
    <border>
      <left/>
      <right/>
      <top style="thin">
        <color indexed="64"/>
      </top>
      <bottom style="thin">
        <color indexed="64"/>
      </bottom>
      <diagonal/>
    </border>
    <border>
      <left/>
      <right style="thick">
        <color indexed="64"/>
      </right>
      <top style="thin">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n">
        <color indexed="64"/>
      </left>
      <right/>
      <top style="thin">
        <color indexed="64"/>
      </top>
      <bottom style="thin">
        <color indexed="64"/>
      </bottom>
      <diagonal/>
    </border>
    <border>
      <left style="thick">
        <color indexed="64"/>
      </left>
      <right/>
      <top/>
      <bottom style="thin">
        <color indexed="64"/>
      </bottom>
      <diagonal/>
    </border>
    <border>
      <left/>
      <right/>
      <top/>
      <bottom style="thin">
        <color indexed="64"/>
      </bottom>
      <diagonal/>
    </border>
    <border>
      <left/>
      <right style="thick">
        <color indexed="64"/>
      </right>
      <top/>
      <bottom style="thin">
        <color indexed="64"/>
      </bottom>
      <diagonal/>
    </border>
    <border>
      <left style="thick">
        <color indexed="64"/>
      </left>
      <right/>
      <top style="thin">
        <color indexed="64"/>
      </top>
      <bottom style="thick">
        <color indexed="64"/>
      </bottom>
      <diagonal/>
    </border>
    <border>
      <left/>
      <right/>
      <top style="thin">
        <color indexed="64"/>
      </top>
      <bottom style="thick">
        <color indexed="64"/>
      </bottom>
      <diagonal/>
    </border>
    <border>
      <left/>
      <right style="thick">
        <color indexed="64"/>
      </right>
      <top style="thin">
        <color indexed="64"/>
      </top>
      <bottom style="thick">
        <color indexed="64"/>
      </bottom>
      <diagonal/>
    </border>
    <border>
      <left style="thick">
        <color auto="1"/>
      </left>
      <right/>
      <top/>
      <bottom style="thick">
        <color auto="1"/>
      </bottom>
      <diagonal/>
    </border>
    <border>
      <left/>
      <right/>
      <top/>
      <bottom style="thick">
        <color auto="1"/>
      </bottom>
      <diagonal/>
    </border>
    <border>
      <left/>
      <right style="thick">
        <color indexed="64"/>
      </right>
      <top/>
      <bottom style="thick">
        <color auto="1"/>
      </bottom>
      <diagonal/>
    </border>
  </borders>
  <cellStyleXfs count="1">
    <xf numFmtId="0" fontId="0" fillId="0" borderId="0"/>
  </cellStyleXfs>
  <cellXfs count="192">
    <xf numFmtId="0" fontId="0" fillId="0" borderId="0" xfId="0"/>
    <xf numFmtId="0" fontId="3" fillId="0" borderId="0" xfId="0" applyFont="1"/>
    <xf numFmtId="0" fontId="4" fillId="0" borderId="12" xfId="0" applyFont="1" applyBorder="1" applyAlignment="1">
      <alignment horizontal="center" vertical="center" wrapText="1"/>
    </xf>
    <xf numFmtId="49" fontId="5" fillId="0" borderId="13" xfId="0" applyNumberFormat="1" applyFont="1" applyBorder="1" applyAlignment="1">
      <alignment horizontal="center" vertical="center" wrapText="1"/>
    </xf>
    <xf numFmtId="0" fontId="4" fillId="0" borderId="13" xfId="0" applyFont="1" applyBorder="1" applyAlignment="1">
      <alignment horizontal="center" vertical="center" wrapText="1"/>
    </xf>
    <xf numFmtId="2" fontId="4" fillId="2" borderId="13" xfId="0" applyNumberFormat="1" applyFont="1" applyFill="1" applyBorder="1" applyAlignment="1">
      <alignment horizontal="right" vertical="center" wrapText="1"/>
    </xf>
    <xf numFmtId="0" fontId="4" fillId="0" borderId="13" xfId="0" applyFont="1" applyBorder="1" applyAlignment="1">
      <alignment horizontal="left" vertical="center" wrapText="1"/>
    </xf>
    <xf numFmtId="0" fontId="4" fillId="3" borderId="13" xfId="0" applyFont="1" applyFill="1" applyBorder="1" applyAlignment="1">
      <alignment horizontal="center" vertical="center" wrapText="1"/>
    </xf>
    <xf numFmtId="0" fontId="4" fillId="4" borderId="13" xfId="0" applyFont="1" applyFill="1" applyBorder="1" applyAlignment="1">
      <alignment horizontal="right" vertical="center" wrapText="1"/>
    </xf>
    <xf numFmtId="1" fontId="4" fillId="0" borderId="14" xfId="0" applyNumberFormat="1" applyFont="1" applyBorder="1" applyAlignment="1">
      <alignment horizontal="center" vertical="center" wrapText="1"/>
    </xf>
    <xf numFmtId="49" fontId="5" fillId="0" borderId="16" xfId="0" applyNumberFormat="1" applyFont="1" applyBorder="1" applyAlignment="1">
      <alignment horizontal="center" vertical="center" wrapText="1"/>
    </xf>
    <xf numFmtId="0" fontId="6" fillId="0" borderId="16" xfId="0" applyFont="1" applyBorder="1" applyAlignment="1">
      <alignment vertical="center" wrapText="1"/>
    </xf>
    <xf numFmtId="0" fontId="3" fillId="0" borderId="16" xfId="0" applyFont="1" applyBorder="1" applyAlignment="1">
      <alignment horizontal="center" vertical="center" wrapText="1"/>
    </xf>
    <xf numFmtId="0" fontId="5" fillId="0" borderId="16" xfId="0" applyFont="1" applyBorder="1" applyAlignment="1">
      <alignment horizontal="left" vertical="center" wrapText="1"/>
    </xf>
    <xf numFmtId="0" fontId="3" fillId="3" borderId="16" xfId="0" applyFont="1" applyFill="1" applyBorder="1" applyAlignment="1">
      <alignment horizontal="center" vertical="center" wrapText="1"/>
    </xf>
    <xf numFmtId="0" fontId="5" fillId="4" borderId="16" xfId="0" applyFont="1" applyFill="1" applyBorder="1" applyAlignment="1">
      <alignment horizontal="right" vertical="center" wrapText="1"/>
    </xf>
    <xf numFmtId="1" fontId="5" fillId="0" borderId="17" xfId="0" applyNumberFormat="1" applyFont="1" applyBorder="1" applyAlignment="1">
      <alignment horizontal="center" vertical="center" wrapText="1"/>
    </xf>
    <xf numFmtId="0" fontId="5" fillId="5" borderId="16" xfId="0" applyFont="1" applyFill="1" applyBorder="1" applyAlignment="1">
      <alignment horizontal="center" vertical="center" wrapText="1"/>
    </xf>
    <xf numFmtId="0" fontId="3" fillId="5" borderId="16" xfId="0" applyFont="1" applyFill="1" applyBorder="1" applyAlignment="1">
      <alignment horizontal="center" vertical="center" wrapText="1"/>
    </xf>
    <xf numFmtId="0" fontId="5" fillId="5" borderId="16" xfId="0" applyFont="1" applyFill="1" applyBorder="1" applyAlignment="1">
      <alignment horizontal="left" vertical="center" wrapText="1"/>
    </xf>
    <xf numFmtId="0" fontId="5" fillId="6" borderId="16" xfId="0" applyFont="1" applyFill="1" applyBorder="1" applyAlignment="1">
      <alignment horizontal="center" vertical="center" wrapText="1"/>
    </xf>
    <xf numFmtId="0" fontId="5" fillId="6" borderId="16" xfId="0" applyFont="1" applyFill="1" applyBorder="1" applyAlignment="1">
      <alignment vertical="center" wrapText="1"/>
    </xf>
    <xf numFmtId="0" fontId="5" fillId="6" borderId="16" xfId="0" applyFont="1" applyFill="1" applyBorder="1" applyAlignment="1">
      <alignment horizontal="left" vertical="center" wrapText="1"/>
    </xf>
    <xf numFmtId="0" fontId="5" fillId="3" borderId="16" xfId="0" applyFont="1" applyFill="1" applyBorder="1" applyAlignment="1">
      <alignment horizontal="center" vertical="center" wrapText="1"/>
    </xf>
    <xf numFmtId="1" fontId="5" fillId="6" borderId="17" xfId="0" applyNumberFormat="1" applyFont="1" applyFill="1" applyBorder="1" applyAlignment="1">
      <alignment horizontal="center" vertical="center" wrapText="1"/>
    </xf>
    <xf numFmtId="0" fontId="5" fillId="7" borderId="16" xfId="0" applyFont="1" applyFill="1" applyBorder="1" applyAlignment="1">
      <alignment horizontal="center" vertical="center" wrapText="1"/>
    </xf>
    <xf numFmtId="0" fontId="5" fillId="7" borderId="16" xfId="0" applyFont="1" applyFill="1" applyBorder="1" applyAlignment="1">
      <alignment vertical="center" wrapText="1"/>
    </xf>
    <xf numFmtId="0" fontId="5" fillId="7" borderId="16" xfId="0" applyFont="1" applyFill="1" applyBorder="1" applyAlignment="1">
      <alignment horizontal="left" vertical="center" wrapText="1"/>
    </xf>
    <xf numFmtId="0" fontId="5" fillId="8" borderId="13" xfId="0" applyFont="1" applyFill="1" applyBorder="1" applyAlignment="1">
      <alignment horizontal="center" vertical="center" wrapText="1"/>
    </xf>
    <xf numFmtId="0" fontId="5" fillId="8" borderId="13" xfId="0" applyFont="1" applyFill="1" applyBorder="1" applyAlignment="1">
      <alignment vertical="center" wrapText="1"/>
    </xf>
    <xf numFmtId="164" fontId="5" fillId="2" borderId="13" xfId="0" applyNumberFormat="1" applyFont="1" applyFill="1" applyBorder="1" applyAlignment="1">
      <alignment horizontal="right" vertical="center" wrapText="1"/>
    </xf>
    <xf numFmtId="0" fontId="5" fillId="8" borderId="13" xfId="0" applyFont="1" applyFill="1" applyBorder="1" applyAlignment="1">
      <alignment horizontal="left" vertical="center" wrapText="1"/>
    </xf>
    <xf numFmtId="0" fontId="5" fillId="3" borderId="13" xfId="0" applyFont="1" applyFill="1" applyBorder="1" applyAlignment="1">
      <alignment horizontal="center" vertical="center" wrapText="1"/>
    </xf>
    <xf numFmtId="0" fontId="5" fillId="4" borderId="13" xfId="0" applyFont="1" applyFill="1" applyBorder="1" applyAlignment="1">
      <alignment horizontal="right" vertical="center" wrapText="1"/>
    </xf>
    <xf numFmtId="166" fontId="5" fillId="8" borderId="14" xfId="0" applyNumberFormat="1" applyFont="1" applyFill="1" applyBorder="1" applyAlignment="1">
      <alignment horizontal="center" vertical="center" wrapText="1"/>
    </xf>
    <xf numFmtId="0" fontId="8" fillId="0" borderId="16" xfId="0" applyFont="1" applyBorder="1" applyAlignment="1">
      <alignment vertical="center" wrapText="1"/>
    </xf>
    <xf numFmtId="2" fontId="3" fillId="2" borderId="13" xfId="0" applyNumberFormat="1" applyFont="1" applyFill="1" applyBorder="1" applyAlignment="1">
      <alignment horizontal="right" vertical="center" wrapText="1"/>
    </xf>
    <xf numFmtId="0" fontId="3" fillId="3" borderId="13" xfId="0" applyFont="1" applyFill="1" applyBorder="1" applyAlignment="1">
      <alignment horizontal="center" vertical="center" wrapText="1"/>
    </xf>
    <xf numFmtId="49" fontId="5" fillId="6" borderId="16" xfId="0" applyNumberFormat="1" applyFont="1" applyFill="1" applyBorder="1" applyAlignment="1">
      <alignment horizontal="center" vertical="center" wrapText="1"/>
    </xf>
    <xf numFmtId="0" fontId="8" fillId="6" borderId="16" xfId="0" applyFont="1" applyFill="1" applyBorder="1" applyAlignment="1">
      <alignment vertical="center" wrapText="1"/>
    </xf>
    <xf numFmtId="49" fontId="5" fillId="7" borderId="16" xfId="0" applyNumberFormat="1" applyFont="1" applyFill="1" applyBorder="1" applyAlignment="1">
      <alignment horizontal="center" vertical="center" wrapText="1"/>
    </xf>
    <xf numFmtId="0" fontId="8" fillId="7" borderId="16" xfId="0" applyFont="1" applyFill="1" applyBorder="1" applyAlignment="1">
      <alignment vertical="center" wrapText="1"/>
    </xf>
    <xf numFmtId="49" fontId="5" fillId="8" borderId="13" xfId="0" applyNumberFormat="1" applyFont="1" applyFill="1" applyBorder="1" applyAlignment="1">
      <alignment horizontal="center" vertical="center" wrapText="1"/>
    </xf>
    <xf numFmtId="0" fontId="8" fillId="8" borderId="13" xfId="0" applyFont="1" applyFill="1" applyBorder="1" applyAlignment="1">
      <alignment vertical="center" wrapText="1"/>
    </xf>
    <xf numFmtId="1" fontId="5" fillId="7" borderId="17" xfId="0" applyNumberFormat="1" applyFont="1" applyFill="1" applyBorder="1" applyAlignment="1">
      <alignment horizontal="center" vertical="center" wrapText="1"/>
    </xf>
    <xf numFmtId="0" fontId="3" fillId="8" borderId="13" xfId="0" applyFont="1" applyFill="1" applyBorder="1" applyAlignment="1">
      <alignment horizontal="center" vertical="center" wrapText="1"/>
    </xf>
    <xf numFmtId="1" fontId="5" fillId="8" borderId="14" xfId="0" applyNumberFormat="1" applyFont="1" applyFill="1" applyBorder="1" applyAlignment="1">
      <alignment horizontal="center" vertical="center" wrapText="1"/>
    </xf>
    <xf numFmtId="49" fontId="5" fillId="0" borderId="16" xfId="0" applyNumberFormat="1" applyFont="1" applyBorder="1" applyAlignment="1">
      <alignment horizontal="center" vertical="center"/>
    </xf>
    <xf numFmtId="2" fontId="3" fillId="2" borderId="13" xfId="0" applyNumberFormat="1" applyFont="1" applyFill="1" applyBorder="1" applyAlignment="1">
      <alignment horizontal="right" vertical="center"/>
    </xf>
    <xf numFmtId="0" fontId="5" fillId="4" borderId="13" xfId="0" applyFont="1" applyFill="1" applyBorder="1" applyAlignment="1">
      <alignment horizontal="right" vertical="center"/>
    </xf>
    <xf numFmtId="0" fontId="3" fillId="0" borderId="16" xfId="0" applyFont="1" applyBorder="1" applyAlignment="1">
      <alignment horizontal="center" vertical="center"/>
    </xf>
    <xf numFmtId="0" fontId="5" fillId="0" borderId="16" xfId="0" applyFont="1" applyBorder="1" applyAlignment="1">
      <alignment horizontal="left" vertical="center"/>
    </xf>
    <xf numFmtId="0" fontId="5" fillId="4" borderId="16" xfId="0" applyFont="1" applyFill="1" applyBorder="1" applyAlignment="1">
      <alignment horizontal="right" vertical="center"/>
    </xf>
    <xf numFmtId="1" fontId="5" fillId="0" borderId="17" xfId="0" applyNumberFormat="1" applyFont="1" applyBorder="1" applyAlignment="1">
      <alignment horizontal="center" vertical="center"/>
    </xf>
    <xf numFmtId="0" fontId="5" fillId="0" borderId="16" xfId="0" applyFont="1" applyBorder="1" applyAlignment="1">
      <alignment horizontal="center" vertical="center"/>
    </xf>
    <xf numFmtId="0" fontId="10" fillId="0" borderId="16" xfId="0" applyFont="1" applyBorder="1" applyAlignment="1">
      <alignment vertical="center" wrapText="1"/>
    </xf>
    <xf numFmtId="2" fontId="3" fillId="0" borderId="16" xfId="0" applyNumberFormat="1" applyFont="1" applyBorder="1" applyAlignment="1">
      <alignment horizontal="center" vertical="center"/>
    </xf>
    <xf numFmtId="165" fontId="5" fillId="4" borderId="16" xfId="0" applyNumberFormat="1" applyFont="1" applyFill="1" applyBorder="1" applyAlignment="1">
      <alignment horizontal="right" vertical="center"/>
    </xf>
    <xf numFmtId="0" fontId="5" fillId="6" borderId="16" xfId="0" applyFont="1" applyFill="1" applyBorder="1" applyAlignment="1">
      <alignment horizontal="center" vertical="center"/>
    </xf>
    <xf numFmtId="1" fontId="5" fillId="6" borderId="17" xfId="0" applyNumberFormat="1" applyFont="1" applyFill="1" applyBorder="1" applyAlignment="1">
      <alignment horizontal="center" vertical="center"/>
    </xf>
    <xf numFmtId="0" fontId="5" fillId="7" borderId="16" xfId="0" applyFont="1" applyFill="1" applyBorder="1" applyAlignment="1">
      <alignment horizontal="center" vertical="center"/>
    </xf>
    <xf numFmtId="0" fontId="5" fillId="8" borderId="13" xfId="0" applyFont="1" applyFill="1" applyBorder="1" applyAlignment="1">
      <alignment horizontal="center" vertical="center"/>
    </xf>
    <xf numFmtId="164" fontId="5" fillId="2" borderId="13" xfId="0" applyNumberFormat="1" applyFont="1" applyFill="1" applyBorder="1" applyAlignment="1">
      <alignment horizontal="right" vertical="center"/>
    </xf>
    <xf numFmtId="166" fontId="5" fillId="8" borderId="14" xfId="0" applyNumberFormat="1" applyFont="1" applyFill="1" applyBorder="1" applyAlignment="1">
      <alignment horizontal="center" vertical="center"/>
    </xf>
    <xf numFmtId="0" fontId="8" fillId="0" borderId="16" xfId="0" applyFont="1" applyBorder="1" applyAlignment="1">
      <alignment horizontal="left" vertical="center" wrapText="1"/>
    </xf>
    <xf numFmtId="49" fontId="5" fillId="6" borderId="16" xfId="0" applyNumberFormat="1" applyFont="1" applyFill="1" applyBorder="1" applyAlignment="1">
      <alignment horizontal="center" vertical="center"/>
    </xf>
    <xf numFmtId="0" fontId="8" fillId="6" borderId="16" xfId="0" applyFont="1" applyFill="1" applyBorder="1" applyAlignment="1">
      <alignment horizontal="left" vertical="center" wrapText="1"/>
    </xf>
    <xf numFmtId="0" fontId="5" fillId="6" borderId="16" xfId="0" applyFont="1" applyFill="1" applyBorder="1" applyAlignment="1">
      <alignment horizontal="left" vertical="center"/>
    </xf>
    <xf numFmtId="49" fontId="5" fillId="7" borderId="16" xfId="0" applyNumberFormat="1" applyFont="1" applyFill="1" applyBorder="1" applyAlignment="1">
      <alignment horizontal="center" vertical="center"/>
    </xf>
    <xf numFmtId="0" fontId="8" fillId="7" borderId="16" xfId="0" applyFont="1" applyFill="1" applyBorder="1" applyAlignment="1">
      <alignment horizontal="left" vertical="center" wrapText="1"/>
    </xf>
    <xf numFmtId="49" fontId="5" fillId="8" borderId="13" xfId="0" applyNumberFormat="1" applyFont="1" applyFill="1" applyBorder="1" applyAlignment="1">
      <alignment horizontal="center" vertical="center"/>
    </xf>
    <xf numFmtId="0" fontId="8" fillId="8" borderId="13" xfId="0" applyFont="1" applyFill="1" applyBorder="1" applyAlignment="1">
      <alignment horizontal="left" vertical="center" wrapText="1"/>
    </xf>
    <xf numFmtId="0" fontId="3" fillId="8" borderId="13" xfId="0" applyFont="1" applyFill="1" applyBorder="1" applyAlignment="1">
      <alignment horizontal="center" vertical="center"/>
    </xf>
    <xf numFmtId="164" fontId="3" fillId="2" borderId="13" xfId="0" applyNumberFormat="1" applyFont="1" applyFill="1" applyBorder="1" applyAlignment="1">
      <alignment horizontal="right" vertical="center"/>
    </xf>
    <xf numFmtId="0" fontId="5" fillId="8" borderId="13" xfId="0" applyFont="1" applyFill="1" applyBorder="1" applyAlignment="1">
      <alignment horizontal="left" vertical="center"/>
    </xf>
    <xf numFmtId="1" fontId="5" fillId="8" borderId="14" xfId="0" applyNumberFormat="1" applyFont="1" applyFill="1" applyBorder="1" applyAlignment="1">
      <alignment horizontal="center" vertical="center"/>
    </xf>
    <xf numFmtId="0" fontId="3" fillId="0" borderId="0" xfId="0" applyFont="1" applyAlignment="1">
      <alignment vertical="center"/>
    </xf>
    <xf numFmtId="164" fontId="1" fillId="2" borderId="13" xfId="0" applyNumberFormat="1" applyFont="1" applyFill="1" applyBorder="1" applyAlignment="1">
      <alignment horizontal="right" vertical="center"/>
    </xf>
    <xf numFmtId="0" fontId="1" fillId="8" borderId="13" xfId="0" applyFont="1" applyFill="1" applyBorder="1" applyAlignment="1">
      <alignment horizontal="left" vertical="center" wrapText="1"/>
    </xf>
    <xf numFmtId="0" fontId="11" fillId="3" borderId="13" xfId="0" applyFont="1" applyFill="1" applyBorder="1" applyAlignment="1">
      <alignment horizontal="center" vertical="center" wrapText="1"/>
    </xf>
    <xf numFmtId="0" fontId="12" fillId="4" borderId="13" xfId="0" applyFont="1" applyFill="1" applyBorder="1" applyAlignment="1">
      <alignment horizontal="right" vertical="center"/>
    </xf>
    <xf numFmtId="166" fontId="12" fillId="8" borderId="14" xfId="0" applyNumberFormat="1" applyFont="1" applyFill="1" applyBorder="1" applyAlignment="1">
      <alignment horizontal="center" vertical="center"/>
    </xf>
    <xf numFmtId="0" fontId="0" fillId="2" borderId="13" xfId="0" applyFill="1" applyBorder="1" applyAlignment="1">
      <alignment horizontal="right" vertical="center"/>
    </xf>
    <xf numFmtId="0" fontId="1" fillId="0" borderId="16" xfId="0" applyFont="1" applyBorder="1" applyAlignment="1">
      <alignment horizontal="left" vertical="center"/>
    </xf>
    <xf numFmtId="0" fontId="11" fillId="3" borderId="16" xfId="0" applyFont="1" applyFill="1" applyBorder="1" applyAlignment="1">
      <alignment horizontal="center" vertical="center" wrapText="1"/>
    </xf>
    <xf numFmtId="0" fontId="12" fillId="4" borderId="16" xfId="0" applyFont="1" applyFill="1" applyBorder="1" applyAlignment="1">
      <alignment horizontal="right" vertical="center"/>
    </xf>
    <xf numFmtId="166" fontId="12" fillId="0" borderId="17" xfId="0" applyNumberFormat="1" applyFont="1" applyBorder="1" applyAlignment="1">
      <alignment horizontal="center" vertical="center"/>
    </xf>
    <xf numFmtId="0" fontId="3" fillId="0" borderId="16" xfId="0" applyFont="1" applyBorder="1" applyAlignment="1">
      <alignment vertical="center" wrapText="1"/>
    </xf>
    <xf numFmtId="166" fontId="12" fillId="9" borderId="17" xfId="0" applyNumberFormat="1" applyFont="1" applyFill="1" applyBorder="1" applyAlignment="1">
      <alignment horizontal="center" vertical="center"/>
    </xf>
    <xf numFmtId="0" fontId="1" fillId="6" borderId="16" xfId="0" applyFont="1" applyFill="1" applyBorder="1" applyAlignment="1">
      <alignment horizontal="left" vertical="center"/>
    </xf>
    <xf numFmtId="0" fontId="13" fillId="3" borderId="16" xfId="0" applyFont="1" applyFill="1" applyBorder="1" applyAlignment="1">
      <alignment horizontal="center" vertical="center" wrapText="1"/>
    </xf>
    <xf numFmtId="0" fontId="1" fillId="6" borderId="17" xfId="0" applyFont="1" applyFill="1" applyBorder="1" applyAlignment="1">
      <alignment horizontal="center" vertical="center"/>
    </xf>
    <xf numFmtId="0" fontId="5" fillId="7" borderId="15" xfId="0" applyFont="1" applyFill="1" applyBorder="1" applyAlignment="1">
      <alignment horizontal="center" vertical="center"/>
    </xf>
    <xf numFmtId="0" fontId="14" fillId="7" borderId="16" xfId="0" applyFont="1" applyFill="1" applyBorder="1" applyAlignment="1">
      <alignment horizontal="left" vertical="center" wrapText="1"/>
    </xf>
    <xf numFmtId="0" fontId="14" fillId="3" borderId="16" xfId="0" applyFont="1" applyFill="1" applyBorder="1" applyAlignment="1">
      <alignment horizontal="center" vertical="center" wrapText="1"/>
    </xf>
    <xf numFmtId="0" fontId="5" fillId="0" borderId="0" xfId="0" applyFont="1" applyAlignment="1">
      <alignment horizontal="center" vertical="center"/>
    </xf>
    <xf numFmtId="0" fontId="3" fillId="0" borderId="0" xfId="0" applyFont="1" applyAlignment="1">
      <alignment vertical="center" wrapText="1"/>
    </xf>
    <xf numFmtId="0" fontId="3" fillId="0" borderId="0" xfId="0" applyFont="1" applyAlignment="1">
      <alignment horizontal="center" vertical="center"/>
    </xf>
    <xf numFmtId="0" fontId="11" fillId="9" borderId="19" xfId="0" applyFont="1" applyFill="1" applyBorder="1" applyAlignment="1">
      <alignment horizontal="centerContinuous" vertical="center"/>
    </xf>
    <xf numFmtId="0" fontId="12" fillId="9" borderId="20" xfId="0" applyFont="1" applyFill="1" applyBorder="1" applyAlignment="1">
      <alignment horizontal="centerContinuous"/>
    </xf>
    <xf numFmtId="166" fontId="12" fillId="9" borderId="21" xfId="0" applyNumberFormat="1" applyFont="1" applyFill="1" applyBorder="1" applyAlignment="1">
      <alignment horizontal="center" vertical="center"/>
    </xf>
    <xf numFmtId="0" fontId="11" fillId="9" borderId="12" xfId="0" applyFont="1" applyFill="1" applyBorder="1" applyAlignment="1">
      <alignment horizontal="centerContinuous" vertical="center"/>
    </xf>
    <xf numFmtId="0" fontId="12" fillId="9" borderId="13" xfId="0" applyFont="1" applyFill="1" applyBorder="1" applyAlignment="1">
      <alignment horizontal="centerContinuous"/>
    </xf>
    <xf numFmtId="166" fontId="12" fillId="9" borderId="14" xfId="0" applyNumberFormat="1" applyFont="1" applyFill="1" applyBorder="1" applyAlignment="1">
      <alignment horizontal="center" vertical="center"/>
    </xf>
    <xf numFmtId="0" fontId="11" fillId="9" borderId="22" xfId="0" applyFont="1" applyFill="1" applyBorder="1" applyAlignment="1">
      <alignment horizontal="centerContinuous" vertical="center"/>
    </xf>
    <xf numFmtId="0" fontId="12" fillId="9" borderId="23" xfId="0" applyFont="1" applyFill="1" applyBorder="1" applyAlignment="1">
      <alignment horizontal="centerContinuous"/>
    </xf>
    <xf numFmtId="166" fontId="12" fillId="9" borderId="24" xfId="0" applyNumberFormat="1" applyFont="1" applyFill="1" applyBorder="1" applyAlignment="1">
      <alignment horizontal="center" vertical="center"/>
    </xf>
    <xf numFmtId="0" fontId="13" fillId="0" borderId="0" xfId="0" applyFont="1" applyAlignment="1">
      <alignment horizontal="centerContinuous" vertical="center"/>
    </xf>
    <xf numFmtId="0" fontId="1" fillId="0" borderId="0" xfId="0" applyFont="1" applyAlignment="1">
      <alignment horizontal="centerContinuous"/>
    </xf>
    <xf numFmtId="0" fontId="1" fillId="0" borderId="0" xfId="0" applyFont="1" applyAlignment="1">
      <alignment horizontal="center" vertical="center"/>
    </xf>
    <xf numFmtId="2" fontId="3" fillId="0" borderId="0" xfId="0" applyNumberFormat="1" applyFont="1" applyAlignment="1">
      <alignment horizontal="center" vertical="center"/>
    </xf>
    <xf numFmtId="0" fontId="5" fillId="0" borderId="0" xfId="0" applyFont="1" applyAlignment="1">
      <alignment vertical="center"/>
    </xf>
    <xf numFmtId="1" fontId="5" fillId="0" borderId="0" xfId="0" applyNumberFormat="1" applyFont="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vertical="center"/>
    </xf>
    <xf numFmtId="0" fontId="5" fillId="8" borderId="13" xfId="0" applyFont="1" applyFill="1" applyBorder="1" applyAlignment="1">
      <alignment horizontal="center" vertical="center"/>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7" xfId="0" applyFont="1" applyBorder="1" applyAlignment="1">
      <alignment horizontal="center" vertical="center" wrapText="1"/>
    </xf>
    <xf numFmtId="0" fontId="2" fillId="0" borderId="8" xfId="0" applyFont="1" applyBorder="1" applyAlignment="1">
      <alignment horizontal="center" vertical="center" wrapText="1"/>
    </xf>
    <xf numFmtId="164" fontId="1" fillId="2" borderId="16" xfId="0" applyNumberFormat="1" applyFont="1" applyFill="1" applyBorder="1" applyAlignment="1" applyProtection="1">
      <alignment horizontal="right" vertical="center"/>
    </xf>
    <xf numFmtId="164" fontId="0" fillId="2" borderId="16" xfId="0" applyNumberFormat="1" applyFill="1" applyBorder="1" applyAlignment="1" applyProtection="1">
      <alignment horizontal="right" vertical="center"/>
    </xf>
    <xf numFmtId="0" fontId="5" fillId="6" borderId="16" xfId="0" applyFont="1" applyFill="1" applyBorder="1" applyAlignment="1" applyProtection="1">
      <alignment horizontal="center" vertical="center"/>
    </xf>
    <xf numFmtId="0" fontId="5" fillId="7" borderId="16" xfId="0" applyFont="1" applyFill="1" applyBorder="1" applyAlignment="1" applyProtection="1">
      <alignment horizontal="center" vertical="center"/>
    </xf>
    <xf numFmtId="0" fontId="5" fillId="6" borderId="16" xfId="0" applyFont="1" applyFill="1" applyBorder="1" applyAlignment="1" applyProtection="1">
      <alignment horizontal="center" vertical="center" wrapText="1"/>
    </xf>
    <xf numFmtId="0" fontId="5" fillId="7" borderId="16" xfId="0" applyFont="1" applyFill="1" applyBorder="1" applyAlignment="1" applyProtection="1">
      <alignment horizontal="center" vertical="center" wrapText="1"/>
    </xf>
    <xf numFmtId="49" fontId="5" fillId="0" borderId="16" xfId="0" applyNumberFormat="1" applyFont="1" applyFill="1" applyBorder="1" applyAlignment="1">
      <alignment horizontal="center" vertical="center"/>
    </xf>
    <xf numFmtId="0" fontId="3" fillId="0" borderId="18" xfId="0" applyFont="1" applyFill="1" applyBorder="1" applyAlignment="1">
      <alignment horizontal="center" vertical="center"/>
    </xf>
    <xf numFmtId="0" fontId="3" fillId="0" borderId="13" xfId="0" applyFont="1" applyFill="1" applyBorder="1" applyAlignment="1">
      <alignment horizontal="center" vertical="center"/>
    </xf>
    <xf numFmtId="0" fontId="1" fillId="0" borderId="13" xfId="0" applyFont="1" applyFill="1" applyBorder="1" applyAlignment="1">
      <alignment horizontal="left" vertical="center"/>
    </xf>
    <xf numFmtId="166" fontId="12" fillId="0" borderId="14" xfId="0" applyNumberFormat="1" applyFont="1" applyFill="1" applyBorder="1" applyAlignment="1">
      <alignment horizontal="center" vertical="center"/>
    </xf>
    <xf numFmtId="0" fontId="3" fillId="0" borderId="0" xfId="0" applyFont="1" applyFill="1"/>
    <xf numFmtId="0" fontId="5" fillId="0" borderId="13" xfId="0" applyFont="1" applyFill="1" applyBorder="1" applyAlignment="1">
      <alignment horizontal="left" vertical="center"/>
    </xf>
    <xf numFmtId="0" fontId="3" fillId="0" borderId="13" xfId="0" applyFont="1" applyFill="1" applyBorder="1" applyAlignment="1">
      <alignment horizontal="center" vertical="center" wrapText="1"/>
    </xf>
    <xf numFmtId="1" fontId="5" fillId="0" borderId="14" xfId="0" applyNumberFormat="1" applyFont="1" applyFill="1" applyBorder="1" applyAlignment="1">
      <alignment horizontal="center" vertical="center"/>
    </xf>
    <xf numFmtId="0" fontId="8" fillId="0" borderId="16" xfId="0" applyFont="1" applyFill="1" applyBorder="1" applyAlignment="1">
      <alignment horizontal="left" vertical="center" wrapText="1"/>
    </xf>
    <xf numFmtId="49" fontId="5" fillId="0" borderId="16" xfId="0" applyNumberFormat="1" applyFont="1" applyFill="1" applyBorder="1" applyAlignment="1">
      <alignment horizontal="center" vertical="center" wrapText="1"/>
    </xf>
    <xf numFmtId="0" fontId="5" fillId="0" borderId="18" xfId="0" applyFont="1" applyFill="1" applyBorder="1" applyAlignment="1">
      <alignment horizontal="center" vertical="center" wrapText="1"/>
    </xf>
    <xf numFmtId="0" fontId="5" fillId="0" borderId="13" xfId="0" applyFont="1" applyFill="1" applyBorder="1" applyAlignment="1">
      <alignment horizontal="center" vertical="center" wrapText="1"/>
    </xf>
    <xf numFmtId="0" fontId="5" fillId="0" borderId="13" xfId="0" applyFont="1" applyFill="1" applyBorder="1" applyAlignment="1">
      <alignment horizontal="left" vertical="center" wrapText="1"/>
    </xf>
    <xf numFmtId="1" fontId="5" fillId="0" borderId="14" xfId="0" applyNumberFormat="1" applyFont="1" applyFill="1" applyBorder="1" applyAlignment="1">
      <alignment horizontal="center" vertical="center" wrapText="1"/>
    </xf>
    <xf numFmtId="0" fontId="8" fillId="0" borderId="16" xfId="0" applyFont="1" applyFill="1" applyBorder="1" applyAlignment="1">
      <alignment vertical="center" wrapText="1"/>
    </xf>
    <xf numFmtId="0" fontId="3" fillId="0" borderId="18" xfId="0" applyFont="1" applyFill="1" applyBorder="1" applyAlignment="1">
      <alignment horizontal="center" vertical="center" wrapText="1"/>
    </xf>
    <xf numFmtId="0" fontId="4" fillId="0" borderId="10" xfId="0" applyFont="1" applyFill="1" applyBorder="1" applyAlignment="1">
      <alignment horizontal="center" vertical="center" wrapText="1"/>
    </xf>
    <xf numFmtId="49" fontId="5" fillId="0" borderId="10" xfId="0" applyNumberFormat="1" applyFont="1" applyFill="1" applyBorder="1" applyAlignment="1">
      <alignment horizontal="center" vertical="center" wrapText="1"/>
    </xf>
    <xf numFmtId="2" fontId="4" fillId="0" borderId="10" xfId="0" applyNumberFormat="1" applyFont="1" applyFill="1" applyBorder="1" applyAlignment="1">
      <alignment horizontal="center" vertical="center" wrapText="1"/>
    </xf>
    <xf numFmtId="1" fontId="4" fillId="0" borderId="11" xfId="0" applyNumberFormat="1" applyFont="1" applyFill="1" applyBorder="1" applyAlignment="1">
      <alignment horizontal="center" vertical="center" wrapText="1"/>
    </xf>
    <xf numFmtId="0" fontId="6" fillId="0" borderId="16" xfId="0" applyFont="1" applyFill="1" applyBorder="1" applyAlignment="1">
      <alignment vertical="center" wrapText="1"/>
    </xf>
    <xf numFmtId="0" fontId="4" fillId="0" borderId="9" xfId="0" applyFont="1" applyFill="1" applyBorder="1" applyAlignment="1">
      <alignment horizontal="center" vertical="center" wrapText="1"/>
    </xf>
    <xf numFmtId="0" fontId="0" fillId="0" borderId="0" xfId="0" applyFont="1"/>
    <xf numFmtId="0" fontId="14" fillId="0" borderId="0" xfId="0" applyNumberFormat="1" applyFont="1" applyAlignment="1">
      <alignment horizontal="right" vertical="center" wrapText="1"/>
    </xf>
    <xf numFmtId="0" fontId="14" fillId="0" borderId="0" xfId="0" applyNumberFormat="1" applyFont="1" applyAlignment="1">
      <alignment horizontal="centerContinuous" vertical="center" wrapText="1"/>
    </xf>
    <xf numFmtId="0" fontId="15" fillId="0" borderId="0" xfId="0" applyNumberFormat="1" applyFont="1" applyAlignment="1">
      <alignment horizontal="centerContinuous"/>
    </xf>
    <xf numFmtId="0" fontId="2" fillId="0" borderId="0" xfId="0" applyFont="1" applyBorder="1" applyAlignment="1">
      <alignment horizontal="center" vertical="center" wrapText="1"/>
    </xf>
    <xf numFmtId="166" fontId="5" fillId="7" borderId="17" xfId="0" applyNumberFormat="1" applyFont="1" applyFill="1" applyBorder="1" applyAlignment="1" applyProtection="1">
      <alignment horizontal="center" vertical="center" wrapText="1"/>
    </xf>
    <xf numFmtId="166" fontId="5" fillId="7" borderId="17" xfId="0" applyNumberFormat="1" applyFont="1" applyFill="1" applyBorder="1" applyAlignment="1" applyProtection="1">
      <alignment horizontal="center" vertical="center"/>
    </xf>
    <xf numFmtId="166" fontId="13" fillId="7" borderId="17" xfId="0" applyNumberFormat="1" applyFont="1" applyFill="1" applyBorder="1" applyAlignment="1" applyProtection="1">
      <alignment horizontal="center" vertical="center"/>
    </xf>
    <xf numFmtId="165" fontId="5" fillId="4" borderId="16" xfId="0" applyNumberFormat="1" applyFont="1" applyFill="1" applyBorder="1" applyAlignment="1" applyProtection="1">
      <alignment horizontal="right" vertical="center" wrapText="1"/>
    </xf>
    <xf numFmtId="0" fontId="5" fillId="4" borderId="16" xfId="0" applyFont="1" applyFill="1" applyBorder="1" applyAlignment="1" applyProtection="1">
      <alignment horizontal="right" vertical="center" wrapText="1"/>
    </xf>
    <xf numFmtId="165" fontId="5" fillId="4" borderId="16" xfId="0" applyNumberFormat="1" applyFont="1" applyFill="1" applyBorder="1" applyAlignment="1" applyProtection="1">
      <alignment horizontal="right" vertical="center"/>
    </xf>
    <xf numFmtId="0" fontId="5" fillId="4" borderId="16" xfId="0" applyFont="1" applyFill="1" applyBorder="1" applyAlignment="1" applyProtection="1">
      <alignment horizontal="right" vertical="center"/>
    </xf>
    <xf numFmtId="165" fontId="1" fillId="4" borderId="16" xfId="0" applyNumberFormat="1" applyFont="1" applyFill="1" applyBorder="1" applyAlignment="1" applyProtection="1">
      <alignment horizontal="right" vertical="center"/>
    </xf>
    <xf numFmtId="164" fontId="3" fillId="2" borderId="16" xfId="0" applyNumberFormat="1" applyFont="1" applyFill="1" applyBorder="1" applyAlignment="1" applyProtection="1">
      <alignment horizontal="right" vertical="center" wrapText="1"/>
    </xf>
    <xf numFmtId="2" fontId="5" fillId="2" borderId="16" xfId="0" applyNumberFormat="1" applyFont="1" applyFill="1" applyBorder="1" applyAlignment="1" applyProtection="1">
      <alignment horizontal="right" vertical="center" wrapText="1"/>
    </xf>
    <xf numFmtId="164" fontId="5" fillId="2" borderId="16" xfId="0" applyNumberFormat="1" applyFont="1" applyFill="1" applyBorder="1" applyAlignment="1" applyProtection="1">
      <alignment horizontal="right" vertical="center" wrapText="1"/>
    </xf>
    <xf numFmtId="164" fontId="3" fillId="2" borderId="16" xfId="0" applyNumberFormat="1" applyFont="1" applyFill="1" applyBorder="1" applyAlignment="1" applyProtection="1">
      <alignment horizontal="right" vertical="center"/>
    </xf>
    <xf numFmtId="2" fontId="5" fillId="2" borderId="16" xfId="0" applyNumberFormat="1" applyFont="1" applyFill="1" applyBorder="1" applyAlignment="1" applyProtection="1">
      <alignment horizontal="right" vertical="center"/>
    </xf>
    <xf numFmtId="164" fontId="5" fillId="2" borderId="16" xfId="0" applyNumberFormat="1" applyFont="1" applyFill="1" applyBorder="1" applyAlignment="1" applyProtection="1">
      <alignment horizontal="right" vertical="center"/>
    </xf>
    <xf numFmtId="1" fontId="5" fillId="0" borderId="15" xfId="0" applyNumberFormat="1" applyFont="1" applyFill="1" applyBorder="1" applyAlignment="1" applyProtection="1">
      <alignment horizontal="center" vertical="center" wrapText="1"/>
    </xf>
    <xf numFmtId="1" fontId="5" fillId="0" borderId="15" xfId="0" applyNumberFormat="1" applyFont="1" applyBorder="1" applyAlignment="1" applyProtection="1">
      <alignment horizontal="center" vertical="center" wrapText="1"/>
    </xf>
    <xf numFmtId="1" fontId="5" fillId="5" borderId="15" xfId="0" applyNumberFormat="1" applyFont="1" applyFill="1" applyBorder="1" applyAlignment="1" applyProtection="1">
      <alignment horizontal="center" vertical="center" wrapText="1"/>
    </xf>
    <xf numFmtId="1" fontId="5" fillId="6" borderId="15" xfId="0" applyNumberFormat="1" applyFont="1" applyFill="1" applyBorder="1" applyAlignment="1" applyProtection="1">
      <alignment horizontal="center" vertical="center" wrapText="1"/>
    </xf>
    <xf numFmtId="1" fontId="5" fillId="7" borderId="15" xfId="0" applyNumberFormat="1" applyFont="1" applyFill="1" applyBorder="1" applyAlignment="1" applyProtection="1">
      <alignment horizontal="center" vertical="center" wrapText="1"/>
    </xf>
    <xf numFmtId="1" fontId="5" fillId="8" borderId="12" xfId="0" applyNumberFormat="1" applyFont="1" applyFill="1" applyBorder="1" applyAlignment="1" applyProtection="1">
      <alignment horizontal="center" vertical="center" wrapText="1"/>
    </xf>
    <xf numFmtId="1" fontId="5" fillId="0" borderId="15" xfId="0" applyNumberFormat="1" applyFont="1" applyFill="1" applyBorder="1" applyAlignment="1" applyProtection="1">
      <alignment horizontal="center" vertical="center"/>
    </xf>
    <xf numFmtId="1" fontId="5" fillId="0" borderId="15" xfId="0" applyNumberFormat="1" applyFont="1" applyBorder="1" applyAlignment="1" applyProtection="1">
      <alignment horizontal="center" vertical="center"/>
    </xf>
    <xf numFmtId="1" fontId="5" fillId="6" borderId="15" xfId="0" applyNumberFormat="1" applyFont="1" applyFill="1" applyBorder="1" applyAlignment="1" applyProtection="1">
      <alignment horizontal="center" vertical="center"/>
    </xf>
    <xf numFmtId="1" fontId="5" fillId="7" borderId="15" xfId="0" applyNumberFormat="1" applyFont="1" applyFill="1" applyBorder="1" applyAlignment="1" applyProtection="1">
      <alignment horizontal="center" vertical="center"/>
    </xf>
    <xf numFmtId="1" fontId="5" fillId="8" borderId="12" xfId="0" applyNumberFormat="1" applyFont="1" applyFill="1" applyBorder="1" applyAlignment="1" applyProtection="1">
      <alignment horizontal="center" vertical="center"/>
    </xf>
    <xf numFmtId="0" fontId="13" fillId="4" borderId="16" xfId="0" applyFont="1" applyFill="1" applyBorder="1" applyAlignment="1" applyProtection="1">
      <alignment horizontal="right" vertical="center"/>
    </xf>
    <xf numFmtId="0" fontId="5" fillId="8" borderId="25" xfId="0" applyFont="1" applyFill="1" applyBorder="1" applyAlignment="1">
      <alignment horizontal="center" vertical="center"/>
    </xf>
    <xf numFmtId="0" fontId="5" fillId="8" borderId="26" xfId="0" applyFont="1" applyFill="1" applyBorder="1" applyAlignment="1">
      <alignment horizontal="center" vertical="center"/>
    </xf>
    <xf numFmtId="0" fontId="3" fillId="8" borderId="26" xfId="0" applyFont="1" applyFill="1" applyBorder="1" applyAlignment="1">
      <alignment vertical="center" wrapText="1"/>
    </xf>
    <xf numFmtId="0" fontId="3" fillId="8" borderId="26" xfId="0" applyFont="1" applyFill="1" applyBorder="1" applyAlignment="1">
      <alignment horizontal="center" vertical="center"/>
    </xf>
    <xf numFmtId="2" fontId="3" fillId="8" borderId="26" xfId="0" applyNumberFormat="1" applyFont="1" applyFill="1" applyBorder="1" applyAlignment="1">
      <alignment horizontal="center" vertical="center"/>
    </xf>
    <xf numFmtId="0" fontId="3" fillId="8" borderId="26" xfId="0" applyFont="1" applyFill="1" applyBorder="1" applyAlignment="1">
      <alignment vertical="center"/>
    </xf>
    <xf numFmtId="1" fontId="5" fillId="8" borderId="27" xfId="0" applyNumberFormat="1" applyFont="1" applyFill="1" applyBorder="1" applyAlignment="1">
      <alignment horizontal="center" vertical="center"/>
    </xf>
  </cellXfs>
  <cellStyles count="1">
    <cellStyle name="Normal" xfId="0" builtinId="0"/>
  </cellStyles>
  <dxfs count="14">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D4B23F-6023-480B-B62B-8C75E81A0D8E}">
  <sheetPr>
    <tabColor rgb="FF92D050"/>
  </sheetPr>
  <dimension ref="A1:N184"/>
  <sheetViews>
    <sheetView showGridLines="0" tabSelected="1" zoomScaleNormal="100" zoomScaleSheetLayoutView="100" workbookViewId="0">
      <pane ySplit="5" topLeftCell="A6" activePane="bottomLeft" state="frozen"/>
      <selection pane="bottomLeft" activeCell="C70" sqref="C70"/>
    </sheetView>
  </sheetViews>
  <sheetFormatPr defaultColWidth="0" defaultRowHeight="0" customHeight="1" zeroHeight="1" x14ac:dyDescent="0.3"/>
  <cols>
    <col min="1" max="2" width="10.77734375" style="95" customWidth="1"/>
    <col min="3" max="3" width="69.77734375" style="96" customWidth="1"/>
    <col min="4" max="7" width="10.77734375" style="97" customWidth="1"/>
    <col min="8" max="8" width="10.77734375" style="110" customWidth="1"/>
    <col min="9" max="9" width="10.77734375" style="111" customWidth="1"/>
    <col min="10" max="10" width="10.77734375" style="76" customWidth="1"/>
    <col min="11" max="11" width="10.77734375" style="95" customWidth="1"/>
    <col min="12" max="12" width="10" style="112" bestFit="1" customWidth="1"/>
    <col min="13" max="13" width="12.77734375" style="1" customWidth="1"/>
    <col min="14" max="14" width="5.77734375" style="1" customWidth="1"/>
    <col min="15" max="16384" width="9.33203125" style="1" hidden="1"/>
  </cols>
  <sheetData>
    <row r="1" spans="1:12" ht="15.6" customHeight="1" x14ac:dyDescent="0.3">
      <c r="A1" s="117" t="s">
        <v>0</v>
      </c>
      <c r="B1" s="118"/>
      <c r="C1" s="118"/>
      <c r="D1" s="118"/>
      <c r="E1" s="118"/>
      <c r="F1" s="118"/>
      <c r="G1" s="118"/>
      <c r="H1" s="118"/>
      <c r="I1" s="118"/>
      <c r="J1" s="118"/>
      <c r="K1" s="118"/>
      <c r="L1" s="119"/>
    </row>
    <row r="2" spans="1:12" ht="15.6" customHeight="1" x14ac:dyDescent="0.3">
      <c r="A2" s="120"/>
      <c r="B2" s="158"/>
      <c r="C2" s="158"/>
      <c r="D2" s="158"/>
      <c r="E2" s="158"/>
      <c r="F2" s="158"/>
      <c r="G2" s="158"/>
      <c r="H2" s="158"/>
      <c r="I2" s="158"/>
      <c r="J2" s="158"/>
      <c r="K2" s="158"/>
      <c r="L2" s="121"/>
    </row>
    <row r="3" spans="1:12" ht="15.6" customHeight="1" x14ac:dyDescent="0.3">
      <c r="A3" s="120"/>
      <c r="B3" s="158"/>
      <c r="C3" s="158"/>
      <c r="D3" s="158"/>
      <c r="E3" s="158"/>
      <c r="F3" s="158"/>
      <c r="G3" s="158"/>
      <c r="H3" s="158"/>
      <c r="I3" s="158"/>
      <c r="J3" s="158"/>
      <c r="K3" s="158"/>
      <c r="L3" s="121"/>
    </row>
    <row r="4" spans="1:12" ht="15.6" customHeight="1" thickBot="1" x14ac:dyDescent="0.35">
      <c r="A4" s="122"/>
      <c r="B4" s="123"/>
      <c r="C4" s="123"/>
      <c r="D4" s="123"/>
      <c r="E4" s="123"/>
      <c r="F4" s="123"/>
      <c r="G4" s="123"/>
      <c r="H4" s="123"/>
      <c r="I4" s="123"/>
      <c r="J4" s="123"/>
      <c r="K4" s="123"/>
      <c r="L4" s="124"/>
    </row>
    <row r="5" spans="1:12" s="136" customFormat="1" ht="35.4" thickTop="1" x14ac:dyDescent="0.3">
      <c r="A5" s="153" t="s">
        <v>1</v>
      </c>
      <c r="B5" s="149" t="s">
        <v>2</v>
      </c>
      <c r="C5" s="148" t="s">
        <v>3</v>
      </c>
      <c r="D5" s="148" t="s">
        <v>4</v>
      </c>
      <c r="E5" s="148" t="s">
        <v>5</v>
      </c>
      <c r="F5" s="148" t="s">
        <v>6</v>
      </c>
      <c r="G5" s="148" t="s">
        <v>7</v>
      </c>
      <c r="H5" s="150" t="s">
        <v>8</v>
      </c>
      <c r="I5" s="148" t="s">
        <v>9</v>
      </c>
      <c r="J5" s="148" t="s">
        <v>10</v>
      </c>
      <c r="K5" s="148" t="s">
        <v>11</v>
      </c>
      <c r="L5" s="151" t="s">
        <v>12</v>
      </c>
    </row>
    <row r="6" spans="1:12" ht="17.399999999999999" x14ac:dyDescent="0.3">
      <c r="A6" s="2"/>
      <c r="B6" s="3"/>
      <c r="C6" s="4"/>
      <c r="D6" s="4"/>
      <c r="E6" s="4"/>
      <c r="F6" s="4"/>
      <c r="G6" s="4"/>
      <c r="H6" s="5"/>
      <c r="I6" s="6"/>
      <c r="J6" s="7"/>
      <c r="K6" s="8"/>
      <c r="L6" s="9"/>
    </row>
    <row r="7" spans="1:12" s="136" customFormat="1" ht="65.400000000000006" x14ac:dyDescent="0.3">
      <c r="A7" s="173">
        <f>IFERROR(LOOKUP(2,1/(ISNUMBER($A$5:$A$6)),$A$5:$A$6),0)+1</f>
        <v>1</v>
      </c>
      <c r="B7" s="141" t="s">
        <v>13</v>
      </c>
      <c r="C7" s="152" t="s">
        <v>49</v>
      </c>
      <c r="D7" s="147"/>
      <c r="E7" s="138"/>
      <c r="F7" s="138"/>
      <c r="G7" s="138"/>
      <c r="H7" s="36"/>
      <c r="I7" s="144"/>
      <c r="J7" s="37"/>
      <c r="K7" s="33"/>
      <c r="L7" s="145"/>
    </row>
    <row r="8" spans="1:12" ht="15.6" x14ac:dyDescent="0.3">
      <c r="A8" s="174"/>
      <c r="B8" s="10"/>
      <c r="C8" s="11"/>
      <c r="D8" s="12">
        <v>1</v>
      </c>
      <c r="E8" s="12">
        <v>14</v>
      </c>
      <c r="F8" s="12">
        <v>24.75</v>
      </c>
      <c r="G8" s="12"/>
      <c r="H8" s="167">
        <f>D8*IF(OR(E8=0,E8="-"),1,E8)*IF(OR(F8=0,F8="-"),1,F8)*IF(OR(G8=0,G8="-"),1,G8)</f>
        <v>346.5</v>
      </c>
      <c r="I8" s="13" t="s">
        <v>14</v>
      </c>
      <c r="J8" s="14"/>
      <c r="K8" s="15"/>
      <c r="L8" s="16"/>
    </row>
    <row r="9" spans="1:12" ht="15.6" x14ac:dyDescent="0.3">
      <c r="A9" s="174"/>
      <c r="B9" s="10"/>
      <c r="C9" s="11"/>
      <c r="D9" s="12">
        <v>1</v>
      </c>
      <c r="E9" s="12">
        <v>79.5</v>
      </c>
      <c r="F9" s="12">
        <v>24.5</v>
      </c>
      <c r="G9" s="12"/>
      <c r="H9" s="167">
        <f>D9*IF(OR(E9=0,E9="-"),1,E9)*IF(OR(F9=0,F9="-"),1,F9)*IF(OR(G9=0,G9="-"),1,G9)</f>
        <v>1947.75</v>
      </c>
      <c r="I9" s="13" t="s">
        <v>14</v>
      </c>
      <c r="J9" s="14"/>
      <c r="K9" s="15"/>
      <c r="L9" s="16"/>
    </row>
    <row r="10" spans="1:12" ht="15.6" x14ac:dyDescent="0.3">
      <c r="A10" s="174"/>
      <c r="B10" s="10"/>
      <c r="C10" s="11"/>
      <c r="D10" s="12">
        <v>6</v>
      </c>
      <c r="E10" s="12">
        <v>50</v>
      </c>
      <c r="F10" s="12">
        <v>26.66</v>
      </c>
      <c r="G10" s="12"/>
      <c r="H10" s="167">
        <f>D10*IF(OR(E10=0,E10="-"),1,E10)*IF(OR(F10=0,F10="-"),1,F10)*IF(OR(G10=0,G10="-"),1,G10)</f>
        <v>7998</v>
      </c>
      <c r="I10" s="13" t="s">
        <v>14</v>
      </c>
      <c r="J10" s="14"/>
      <c r="K10" s="15"/>
      <c r="L10" s="16"/>
    </row>
    <row r="11" spans="1:12" ht="15.6" x14ac:dyDescent="0.3">
      <c r="A11" s="175"/>
      <c r="B11" s="17"/>
      <c r="C11" s="18"/>
      <c r="D11" s="18">
        <v>1</v>
      </c>
      <c r="E11" s="18">
        <v>8.5</v>
      </c>
      <c r="F11" s="18">
        <v>26</v>
      </c>
      <c r="G11" s="18"/>
      <c r="H11" s="167">
        <f>D11*IF(OR(E11=0,E11="-"),1,E11)*IF(OR(F11=0,F11="-"),1,F11)*IF(OR(G11=0,G11="-"),1,G11)</f>
        <v>221</v>
      </c>
      <c r="I11" s="19" t="s">
        <v>14</v>
      </c>
      <c r="J11" s="14"/>
      <c r="K11" s="15"/>
      <c r="L11" s="16"/>
    </row>
    <row r="12" spans="1:12" ht="15.6" x14ac:dyDescent="0.3">
      <c r="A12" s="176"/>
      <c r="B12" s="20"/>
      <c r="C12" s="21"/>
      <c r="D12" s="20"/>
      <c r="E12" s="20"/>
      <c r="F12" s="129" t="s">
        <v>15</v>
      </c>
      <c r="G12" s="129"/>
      <c r="H12" s="168">
        <f>SUM(H8:INDEX(H:H,ROW()-1))</f>
        <v>10513.25</v>
      </c>
      <c r="I12" s="22" t="s">
        <v>14</v>
      </c>
      <c r="J12" s="23"/>
      <c r="K12" s="162">
        <f>0</f>
        <v>0</v>
      </c>
      <c r="L12" s="24"/>
    </row>
    <row r="13" spans="1:12" ht="31.2" x14ac:dyDescent="0.3">
      <c r="A13" s="177"/>
      <c r="B13" s="25"/>
      <c r="C13" s="26"/>
      <c r="D13" s="25"/>
      <c r="E13" s="130" t="s">
        <v>16</v>
      </c>
      <c r="F13" s="130"/>
      <c r="G13" s="130"/>
      <c r="H13" s="169">
        <f>ROUND(H12*0.0929,3)</f>
        <v>976.68100000000004</v>
      </c>
      <c r="I13" s="27" t="s">
        <v>17</v>
      </c>
      <c r="J13" s="23" t="s">
        <v>18</v>
      </c>
      <c r="K13" s="163">
        <f>IF(B7="4.4.1",IF(J13="Labour Rate",11,IF(J13="Through Rate",11,0)),"")</f>
        <v>11</v>
      </c>
      <c r="L13" s="159">
        <f>IF(H13*K13&lt;&gt;0,H13*K13,0)</f>
        <v>10743.491</v>
      </c>
    </row>
    <row r="14" spans="1:12" ht="13.95" customHeight="1" x14ac:dyDescent="0.3">
      <c r="A14" s="178"/>
      <c r="B14" s="28"/>
      <c r="C14" s="29"/>
      <c r="D14" s="28"/>
      <c r="E14" s="28"/>
      <c r="F14" s="28"/>
      <c r="G14" s="28"/>
      <c r="H14" s="30"/>
      <c r="I14" s="31"/>
      <c r="J14" s="32"/>
      <c r="K14" s="33"/>
      <c r="L14" s="34"/>
    </row>
    <row r="15" spans="1:12" s="136" customFormat="1" ht="51.6" x14ac:dyDescent="0.3">
      <c r="A15" s="173">
        <f>IFERROR(LOOKUP(2,1/(ISNUMBER($A$5:$A$14)),$A$5:$A$14),0)+1</f>
        <v>2</v>
      </c>
      <c r="B15" s="141" t="s">
        <v>19</v>
      </c>
      <c r="C15" s="146" t="s">
        <v>48</v>
      </c>
      <c r="D15" s="147"/>
      <c r="E15" s="138"/>
      <c r="F15" s="138"/>
      <c r="G15" s="138"/>
      <c r="H15" s="36"/>
      <c r="I15" s="144"/>
      <c r="J15" s="37"/>
      <c r="K15" s="33"/>
      <c r="L15" s="145"/>
    </row>
    <row r="16" spans="1:12" ht="15.6" x14ac:dyDescent="0.3">
      <c r="A16" s="174"/>
      <c r="B16" s="10"/>
      <c r="C16" s="35" t="s">
        <v>20</v>
      </c>
      <c r="D16" s="12">
        <v>1</v>
      </c>
      <c r="E16" s="12">
        <v>94</v>
      </c>
      <c r="F16" s="12">
        <v>2.25</v>
      </c>
      <c r="G16" s="12">
        <v>0.25</v>
      </c>
      <c r="H16" s="167">
        <f>D16*IF(OR(E16=0,E16="-"),1,E16)*IF(OR(F16=0,F16="-"),1,F16)*IF(OR(G16=0,G16="-"),1,G16)</f>
        <v>52.875</v>
      </c>
      <c r="I16" s="13" t="s">
        <v>21</v>
      </c>
      <c r="J16" s="14"/>
      <c r="K16" s="15"/>
      <c r="L16" s="16"/>
    </row>
    <row r="17" spans="1:12" ht="15.6" x14ac:dyDescent="0.3">
      <c r="A17" s="174"/>
      <c r="B17" s="10"/>
      <c r="C17" s="35"/>
      <c r="D17" s="12">
        <v>2</v>
      </c>
      <c r="E17" s="12">
        <v>94</v>
      </c>
      <c r="F17" s="12">
        <v>0.75</v>
      </c>
      <c r="G17" s="12">
        <v>0.375</v>
      </c>
      <c r="H17" s="167">
        <f>D17*IF(OR(E17=0,E17="-"),1,E17)*IF(OR(F17=0,F17="-"),1,F17)*IF(OR(G17=0,G17="-"),1,G17)</f>
        <v>52.875</v>
      </c>
      <c r="I17" s="13" t="s">
        <v>21</v>
      </c>
      <c r="J17" s="14"/>
      <c r="K17" s="15"/>
      <c r="L17" s="16"/>
    </row>
    <row r="18" spans="1:12" ht="15.6" x14ac:dyDescent="0.3">
      <c r="A18" s="176"/>
      <c r="B18" s="38"/>
      <c r="C18" s="39"/>
      <c r="D18" s="20"/>
      <c r="E18" s="20"/>
      <c r="F18" s="129" t="s">
        <v>22</v>
      </c>
      <c r="G18" s="129"/>
      <c r="H18" s="168">
        <f>SUM(H16:INDEX(H:H,ROW()-1))</f>
        <v>105.75</v>
      </c>
      <c r="I18" s="22" t="s">
        <v>21</v>
      </c>
      <c r="J18" s="23"/>
      <c r="K18" s="162">
        <f>0</f>
        <v>0</v>
      </c>
      <c r="L18" s="24"/>
    </row>
    <row r="19" spans="1:12" ht="46.8" x14ac:dyDescent="0.3">
      <c r="A19" s="177"/>
      <c r="B19" s="40"/>
      <c r="C19" s="41"/>
      <c r="D19" s="25"/>
      <c r="E19" s="130" t="s">
        <v>23</v>
      </c>
      <c r="F19" s="130"/>
      <c r="G19" s="130"/>
      <c r="H19" s="169">
        <f>ROUND(H18*0.0283,3)</f>
        <v>2.9929999999999999</v>
      </c>
      <c r="I19" s="27" t="s">
        <v>24</v>
      </c>
      <c r="J19" s="23" t="s">
        <v>25</v>
      </c>
      <c r="K19" s="163">
        <f>IF(B15="7.21.2",IF(J19="Labour Rate Amnd",823,IF(J19="Material Rate Amnd",3144,IF(J19="Through Rate Amnd",3968,IF(J19="Labour Rate",387,IF(J19="Material Rate",3144,IF(J19="Through Rate",3531,0)))))),"")</f>
        <v>823</v>
      </c>
      <c r="L19" s="159">
        <f>IF(H19*K19&lt;&gt;0,H19*K19,0)</f>
        <v>2463.239</v>
      </c>
    </row>
    <row r="20" spans="1:12" ht="13.95" customHeight="1" x14ac:dyDescent="0.3">
      <c r="A20" s="178"/>
      <c r="B20" s="42"/>
      <c r="C20" s="43"/>
      <c r="D20" s="28"/>
      <c r="E20" s="28"/>
      <c r="F20" s="28"/>
      <c r="G20" s="28"/>
      <c r="H20" s="30"/>
      <c r="I20" s="31"/>
      <c r="J20" s="32"/>
      <c r="K20" s="33"/>
      <c r="L20" s="34"/>
    </row>
    <row r="21" spans="1:12" s="136" customFormat="1" ht="77.400000000000006" x14ac:dyDescent="0.3">
      <c r="A21" s="173">
        <f>IFERROR(LOOKUP(2,1/(ISNUMBER($A$5:$A$20)),$A$5:$A$20),0)+1</f>
        <v>3</v>
      </c>
      <c r="B21" s="141" t="s">
        <v>26</v>
      </c>
      <c r="C21" s="146" t="s">
        <v>47</v>
      </c>
      <c r="D21" s="142"/>
      <c r="E21" s="143"/>
      <c r="F21" s="143"/>
      <c r="G21" s="143"/>
      <c r="H21" s="30"/>
      <c r="I21" s="144"/>
      <c r="J21" s="32"/>
      <c r="K21" s="33"/>
      <c r="L21" s="145"/>
    </row>
    <row r="22" spans="1:12" ht="15.6" x14ac:dyDescent="0.3">
      <c r="A22" s="177"/>
      <c r="B22" s="40"/>
      <c r="C22" s="41" t="s">
        <v>27</v>
      </c>
      <c r="D22" s="25">
        <v>1</v>
      </c>
      <c r="E22" s="25">
        <v>94</v>
      </c>
      <c r="F22" s="25">
        <v>0.75</v>
      </c>
      <c r="G22" s="25">
        <v>0.375</v>
      </c>
      <c r="H22" s="169">
        <f>D22*IF(OR(E22=0,E22="-"),1,E22)*IF(OR(F22=0,F22="-"),1,F22)*IF(OR(G22=0,G22="-"),1,G22)</f>
        <v>26.4375</v>
      </c>
      <c r="I22" s="27" t="s">
        <v>21</v>
      </c>
      <c r="J22" s="23"/>
      <c r="K22" s="15"/>
      <c r="L22" s="44"/>
    </row>
    <row r="23" spans="1:12" ht="15.6" x14ac:dyDescent="0.3">
      <c r="A23" s="177"/>
      <c r="B23" s="40"/>
      <c r="C23" s="41" t="s">
        <v>28</v>
      </c>
      <c r="D23" s="25">
        <v>-1</v>
      </c>
      <c r="E23" s="25">
        <v>94</v>
      </c>
      <c r="F23" s="25">
        <v>0.5</v>
      </c>
      <c r="G23" s="25">
        <v>0.19600000000000001</v>
      </c>
      <c r="H23" s="169">
        <f>D23*IF(OR(E23=0,E23="-"),1,E23)*IF(OR(F23=0,F23="-"),1,F23)*IF(OR(G23=0,G23="-"),1,G23)</f>
        <v>-9.2119999999999997</v>
      </c>
      <c r="I23" s="27" t="s">
        <v>21</v>
      </c>
      <c r="J23" s="23"/>
      <c r="K23" s="15"/>
      <c r="L23" s="44"/>
    </row>
    <row r="24" spans="1:12" ht="15.6" x14ac:dyDescent="0.3">
      <c r="A24" s="176"/>
      <c r="B24" s="38"/>
      <c r="C24" s="39"/>
      <c r="D24" s="20"/>
      <c r="E24" s="20"/>
      <c r="F24" s="129" t="s">
        <v>22</v>
      </c>
      <c r="G24" s="129"/>
      <c r="H24" s="169">
        <f>SUM(H22:INDEX(H:H,ROW()-1))</f>
        <v>17.2255</v>
      </c>
      <c r="I24" s="22" t="s">
        <v>21</v>
      </c>
      <c r="J24" s="23"/>
      <c r="K24" s="162">
        <f>0</f>
        <v>0</v>
      </c>
      <c r="L24" s="24"/>
    </row>
    <row r="25" spans="1:12" ht="31.2" x14ac:dyDescent="0.3">
      <c r="A25" s="177"/>
      <c r="B25" s="40"/>
      <c r="C25" s="41"/>
      <c r="D25" s="25"/>
      <c r="E25" s="130" t="s">
        <v>23</v>
      </c>
      <c r="F25" s="130"/>
      <c r="G25" s="130"/>
      <c r="H25" s="169">
        <f>ROUND(H24*0.0283,3)</f>
        <v>0.48699999999999999</v>
      </c>
      <c r="I25" s="27" t="s">
        <v>24</v>
      </c>
      <c r="J25" s="23" t="s">
        <v>18</v>
      </c>
      <c r="K25" s="163">
        <f>IF(B21="6.1.2",IF(J25="Labour Rate",688,IF(J25="Material Rate",2788,IF(J25="Through Rate",3476,0))),"")</f>
        <v>688</v>
      </c>
      <c r="L25" s="159">
        <f>IF(H25*K25&lt;&gt;0,H25*K25,0)</f>
        <v>335.05599999999998</v>
      </c>
    </row>
    <row r="26" spans="1:12" ht="13.95" customHeight="1" x14ac:dyDescent="0.3">
      <c r="A26" s="178"/>
      <c r="B26" s="42"/>
      <c r="C26" s="43"/>
      <c r="D26" s="45"/>
      <c r="E26" s="45"/>
      <c r="F26" s="45"/>
      <c r="G26" s="45"/>
      <c r="H26" s="36"/>
      <c r="I26" s="31"/>
      <c r="J26" s="37"/>
      <c r="K26" s="33"/>
      <c r="L26" s="46"/>
    </row>
    <row r="27" spans="1:12" s="136" customFormat="1" ht="123.6" x14ac:dyDescent="0.3">
      <c r="A27" s="173">
        <f>IFERROR(LOOKUP(2,1/(ISNUMBER($A$5:$A$26)),$A$5:$A$26),0)+1</f>
        <v>4</v>
      </c>
      <c r="B27" s="131" t="s">
        <v>29</v>
      </c>
      <c r="C27" s="152" t="s">
        <v>45</v>
      </c>
      <c r="D27" s="132"/>
      <c r="E27" s="133"/>
      <c r="F27" s="133"/>
      <c r="G27" s="133"/>
      <c r="H27" s="48"/>
      <c r="I27" s="137"/>
      <c r="J27" s="37"/>
      <c r="K27" s="49"/>
      <c r="L27" s="139"/>
    </row>
    <row r="28" spans="1:12" ht="15.6" x14ac:dyDescent="0.3">
      <c r="A28" s="174"/>
      <c r="B28" s="47"/>
      <c r="C28" s="11"/>
      <c r="D28" s="50">
        <v>1</v>
      </c>
      <c r="E28" s="50">
        <v>14</v>
      </c>
      <c r="F28" s="50">
        <v>24.75</v>
      </c>
      <c r="G28" s="50">
        <v>0.41</v>
      </c>
      <c r="H28" s="170">
        <f>D28*IF(OR(E28=0,E28="-"),1,E28)*IF(OR(F28=0,F28="-"),1,F28)*IF(OR(G28=0,G28="-"),1,G28)</f>
        <v>142.065</v>
      </c>
      <c r="I28" s="51" t="s">
        <v>21</v>
      </c>
      <c r="J28" s="14"/>
      <c r="K28" s="52"/>
      <c r="L28" s="53"/>
    </row>
    <row r="29" spans="1:12" ht="15.6" x14ac:dyDescent="0.3">
      <c r="A29" s="174"/>
      <c r="B29" s="47"/>
      <c r="C29" s="11"/>
      <c r="D29" s="50">
        <v>1</v>
      </c>
      <c r="E29" s="50">
        <v>79.5</v>
      </c>
      <c r="F29" s="50">
        <v>24.5</v>
      </c>
      <c r="G29" s="50">
        <v>0.41</v>
      </c>
      <c r="H29" s="170">
        <f>D29*IF(OR(E29=0,E29="-"),1,E29)*IF(OR(F29=0,F29="-"),1,F29)*IF(OR(G29=0,G29="-"),1,G29)</f>
        <v>798.57749999999999</v>
      </c>
      <c r="I29" s="51" t="s">
        <v>21</v>
      </c>
      <c r="J29" s="14"/>
      <c r="K29" s="52"/>
      <c r="L29" s="53"/>
    </row>
    <row r="30" spans="1:12" ht="15.6" x14ac:dyDescent="0.3">
      <c r="A30" s="174"/>
      <c r="B30" s="47"/>
      <c r="C30" s="11"/>
      <c r="D30" s="50">
        <v>6</v>
      </c>
      <c r="E30" s="50">
        <v>50</v>
      </c>
      <c r="F30" s="50">
        <v>26.66</v>
      </c>
      <c r="G30" s="50">
        <v>0.41</v>
      </c>
      <c r="H30" s="170">
        <f>D30*IF(OR(E30=0,E30="-"),1,E30)*IF(OR(F30=0,F30="-"),1,F30)*IF(OR(G30=0,G30="-"),1,G30)</f>
        <v>3279.18</v>
      </c>
      <c r="I30" s="51" t="s">
        <v>21</v>
      </c>
      <c r="J30" s="14"/>
      <c r="K30" s="52"/>
      <c r="L30" s="53"/>
    </row>
    <row r="31" spans="1:12" ht="15.6" x14ac:dyDescent="0.3">
      <c r="A31" s="175"/>
      <c r="B31" s="54"/>
      <c r="C31" s="55"/>
      <c r="D31" s="50">
        <v>1</v>
      </c>
      <c r="E31" s="56">
        <v>8.5</v>
      </c>
      <c r="F31" s="50">
        <v>26</v>
      </c>
      <c r="G31" s="50">
        <v>0.41</v>
      </c>
      <c r="H31" s="170">
        <f>D31*IF(OR(E31=0,E31="-"),1,E31)*IF(OR(F31=0,F31="-"),1,F31)*IF(OR(G31=0,G31="-"),1,G31)</f>
        <v>90.61</v>
      </c>
      <c r="I31" s="51" t="s">
        <v>21</v>
      </c>
      <c r="J31" s="14"/>
      <c r="K31" s="57"/>
      <c r="L31" s="53"/>
    </row>
    <row r="32" spans="1:12" ht="15.6" x14ac:dyDescent="0.3">
      <c r="A32" s="176"/>
      <c r="B32" s="58"/>
      <c r="C32" s="22"/>
      <c r="D32" s="58"/>
      <c r="E32" s="58"/>
      <c r="F32" s="127" t="s">
        <v>22</v>
      </c>
      <c r="G32" s="127"/>
      <c r="H32" s="171">
        <f>SUM(H28:INDEX(H:H,ROW()-1))</f>
        <v>4310.4324999999999</v>
      </c>
      <c r="I32" s="22" t="s">
        <v>21</v>
      </c>
      <c r="J32" s="23"/>
      <c r="K32" s="164">
        <f>0</f>
        <v>0</v>
      </c>
      <c r="L32" s="59"/>
    </row>
    <row r="33" spans="1:12" ht="62.4" x14ac:dyDescent="0.3">
      <c r="A33" s="177"/>
      <c r="B33" s="60"/>
      <c r="C33" s="27"/>
      <c r="D33" s="60"/>
      <c r="E33" s="128" t="s">
        <v>23</v>
      </c>
      <c r="F33" s="128"/>
      <c r="G33" s="128"/>
      <c r="H33" s="172">
        <f>ROUND(H32*0.0283,3)</f>
        <v>121.985</v>
      </c>
      <c r="I33" s="27" t="s">
        <v>46</v>
      </c>
      <c r="J33" s="23" t="s">
        <v>30</v>
      </c>
      <c r="K33" s="165">
        <f>IF(B27="17.23.1",IF(J33="Labour Rate Amnd",21,IF(J33="Machinery Rate Amnd",135,IF(J33="Material Rate Amnd",1032,IF(J33="Through Rate Amnd",1188,IF(J33="Labour Rate",21,IF(J33="Machinery Rate",96,IF(J33="Material Rate",921,IF(J33="Through Rate",1038,IF(J33="Labour + Machinery Rate",117,IF(J33="Labour + Machinery Rate Amnd",156,0)))))))))),"")</f>
        <v>156</v>
      </c>
      <c r="L33" s="160">
        <f>IF(H33*K33&lt;&gt;0,H33*K33,0)</f>
        <v>19029.66</v>
      </c>
    </row>
    <row r="34" spans="1:12" ht="13.95" customHeight="1" x14ac:dyDescent="0.3">
      <c r="A34" s="178"/>
      <c r="B34" s="61"/>
      <c r="C34" s="31"/>
      <c r="D34" s="61"/>
      <c r="E34" s="61"/>
      <c r="F34" s="61"/>
      <c r="G34" s="61"/>
      <c r="H34" s="62"/>
      <c r="I34" s="31"/>
      <c r="J34" s="32"/>
      <c r="K34" s="49"/>
      <c r="L34" s="63"/>
    </row>
    <row r="35" spans="1:12" s="136" customFormat="1" ht="41.4" x14ac:dyDescent="0.3">
      <c r="A35" s="173">
        <f>IFERROR(LOOKUP(2,1/(ISNUMBER($A$5:$A$34)),$A$5:$A$34),0)+1</f>
        <v>5</v>
      </c>
      <c r="B35" s="131" t="s">
        <v>31</v>
      </c>
      <c r="C35" s="140" t="s">
        <v>44</v>
      </c>
      <c r="D35" s="132"/>
      <c r="E35" s="133"/>
      <c r="F35" s="133"/>
      <c r="G35" s="133"/>
      <c r="H35" s="48"/>
      <c r="I35" s="137"/>
      <c r="J35" s="37"/>
      <c r="K35" s="49"/>
      <c r="L35" s="139"/>
    </row>
    <row r="36" spans="1:12" ht="15.6" x14ac:dyDescent="0.3">
      <c r="A36" s="174"/>
      <c r="B36" s="47"/>
      <c r="C36" s="64"/>
      <c r="D36" s="50">
        <v>1</v>
      </c>
      <c r="E36" s="50">
        <v>14</v>
      </c>
      <c r="F36" s="50">
        <v>24.75</v>
      </c>
      <c r="G36" s="50"/>
      <c r="H36" s="170">
        <f>D36*IF(OR(E36=0,E36="-"),1,E36)*IF(OR(F36=0,F36="-"),1,F36)*IF(OR(G36=0,G36="-"),1,G36)</f>
        <v>346.5</v>
      </c>
      <c r="I36" s="51" t="s">
        <v>14</v>
      </c>
      <c r="J36" s="14"/>
      <c r="K36" s="52"/>
      <c r="L36" s="53"/>
    </row>
    <row r="37" spans="1:12" ht="15.6" x14ac:dyDescent="0.3">
      <c r="A37" s="174"/>
      <c r="B37" s="47"/>
      <c r="C37" s="64"/>
      <c r="D37" s="50">
        <v>1</v>
      </c>
      <c r="E37" s="50">
        <v>79.5</v>
      </c>
      <c r="F37" s="50">
        <v>24.5</v>
      </c>
      <c r="G37" s="50"/>
      <c r="H37" s="170">
        <f>D37*IF(OR(E37=0,E37="-"),1,E37)*IF(OR(F37=0,F37="-"),1,F37)*IF(OR(G37=0,G37="-"),1,G37)</f>
        <v>1947.75</v>
      </c>
      <c r="I37" s="51" t="s">
        <v>14</v>
      </c>
      <c r="J37" s="14"/>
      <c r="K37" s="52"/>
      <c r="L37" s="53"/>
    </row>
    <row r="38" spans="1:12" ht="15.6" x14ac:dyDescent="0.3">
      <c r="A38" s="174"/>
      <c r="B38" s="47"/>
      <c r="C38" s="64"/>
      <c r="D38" s="50">
        <v>6</v>
      </c>
      <c r="E38" s="50">
        <v>50</v>
      </c>
      <c r="F38" s="50">
        <v>26.66</v>
      </c>
      <c r="G38" s="50"/>
      <c r="H38" s="170">
        <f>D38*IF(OR(E38=0,E38="-"),1,E38)*IF(OR(F38=0,F38="-"),1,F38)*IF(OR(G38=0,G38="-"),1,G38)</f>
        <v>7998</v>
      </c>
      <c r="I38" s="51" t="s">
        <v>14</v>
      </c>
      <c r="J38" s="14"/>
      <c r="K38" s="52"/>
      <c r="L38" s="53"/>
    </row>
    <row r="39" spans="1:12" ht="15.6" x14ac:dyDescent="0.3">
      <c r="A39" s="174"/>
      <c r="B39" s="47"/>
      <c r="C39" s="64"/>
      <c r="D39" s="50">
        <v>1</v>
      </c>
      <c r="E39" s="50">
        <v>8.5</v>
      </c>
      <c r="F39" s="50">
        <v>26</v>
      </c>
      <c r="G39" s="50"/>
      <c r="H39" s="170">
        <f>D39*IF(OR(E39=0,E39="-"),1,E39)*IF(OR(F39=0,F39="-"),1,F39)*IF(OR(G39=0,G39="-"),1,G39)</f>
        <v>221</v>
      </c>
      <c r="I39" s="51" t="s">
        <v>14</v>
      </c>
      <c r="J39" s="14"/>
      <c r="K39" s="52"/>
      <c r="L39" s="53"/>
    </row>
    <row r="40" spans="1:12" ht="15.6" x14ac:dyDescent="0.3">
      <c r="A40" s="176"/>
      <c r="B40" s="65"/>
      <c r="C40" s="66"/>
      <c r="D40" s="58"/>
      <c r="E40" s="58"/>
      <c r="F40" s="127" t="s">
        <v>15</v>
      </c>
      <c r="G40" s="127"/>
      <c r="H40" s="172">
        <f>SUM(H36:INDEX(H:H,ROW()-1))</f>
        <v>10513.25</v>
      </c>
      <c r="I40" s="67" t="s">
        <v>14</v>
      </c>
      <c r="J40" s="23"/>
      <c r="K40" s="164">
        <f>0</f>
        <v>0</v>
      </c>
      <c r="L40" s="59"/>
    </row>
    <row r="41" spans="1:12" ht="31.2" x14ac:dyDescent="0.3">
      <c r="A41" s="177"/>
      <c r="B41" s="68"/>
      <c r="C41" s="69"/>
      <c r="D41" s="60"/>
      <c r="E41" s="128" t="s">
        <v>16</v>
      </c>
      <c r="F41" s="128"/>
      <c r="G41" s="128"/>
      <c r="H41" s="172">
        <f>ROUND(H40*0.0929,3)</f>
        <v>976.68100000000004</v>
      </c>
      <c r="I41" s="27" t="s">
        <v>17</v>
      </c>
      <c r="J41" s="23" t="s">
        <v>18</v>
      </c>
      <c r="K41" s="165">
        <f>IF(B35="14.1",IF(J41="Labour Rate",4,IF(J41="Through Rate",4,0)),"")</f>
        <v>4</v>
      </c>
      <c r="L41" s="160">
        <f>IF(H41*K41&lt;&gt;0,H41*K41,0)</f>
        <v>3906.7240000000002</v>
      </c>
    </row>
    <row r="42" spans="1:12" ht="13.95" customHeight="1" x14ac:dyDescent="0.3">
      <c r="A42" s="178"/>
      <c r="B42" s="70"/>
      <c r="C42" s="71"/>
      <c r="D42" s="72"/>
      <c r="E42" s="72"/>
      <c r="F42" s="72"/>
      <c r="G42" s="72"/>
      <c r="H42" s="73"/>
      <c r="I42" s="74"/>
      <c r="J42" s="37"/>
      <c r="K42" s="49"/>
      <c r="L42" s="75"/>
    </row>
    <row r="43" spans="1:12" s="136" customFormat="1" ht="75.599999999999994" x14ac:dyDescent="0.3">
      <c r="A43" s="179">
        <f>IFERROR(LOOKUP(2,1/(ISNUMBER($A$5:$A$42)),$A$5:$A$42),0)+1</f>
        <v>6</v>
      </c>
      <c r="B43" s="131" t="s">
        <v>32</v>
      </c>
      <c r="C43" s="140" t="s">
        <v>43</v>
      </c>
      <c r="D43" s="132"/>
      <c r="E43" s="133"/>
      <c r="F43" s="138"/>
      <c r="G43" s="138"/>
      <c r="H43" s="48"/>
      <c r="I43" s="137"/>
      <c r="J43" s="37"/>
      <c r="K43" s="49"/>
      <c r="L43" s="139"/>
    </row>
    <row r="44" spans="1:12" ht="15.6" x14ac:dyDescent="0.3">
      <c r="A44" s="180"/>
      <c r="B44" s="47"/>
      <c r="C44" s="64"/>
      <c r="D44" s="50">
        <v>1</v>
      </c>
      <c r="E44" s="50">
        <v>14</v>
      </c>
      <c r="F44" s="12">
        <v>24.75</v>
      </c>
      <c r="G44" s="12"/>
      <c r="H44" s="170">
        <f>D44*IF(OR(E44=0,E44="-"),1,E44)*IF(OR(F44=0,F44="-"),1,F44)*IF(OR(G44=0,G44="-"),1,G44)</f>
        <v>346.5</v>
      </c>
      <c r="I44" s="51" t="s">
        <v>14</v>
      </c>
      <c r="J44" s="14"/>
      <c r="K44" s="52"/>
      <c r="L44" s="53"/>
    </row>
    <row r="45" spans="1:12" ht="15.6" x14ac:dyDescent="0.3">
      <c r="A45" s="180"/>
      <c r="B45" s="47"/>
      <c r="C45" s="64"/>
      <c r="D45" s="50">
        <v>1</v>
      </c>
      <c r="E45" s="50">
        <v>79.5</v>
      </c>
      <c r="F45" s="12">
        <v>24.5</v>
      </c>
      <c r="G45" s="12"/>
      <c r="H45" s="170">
        <f>D45*IF(OR(E45=0,E45="-"),1,E45)*IF(OR(F45=0,F45="-"),1,F45)*IF(OR(G45=0,G45="-"),1,G45)</f>
        <v>1947.75</v>
      </c>
      <c r="I45" s="51" t="s">
        <v>14</v>
      </c>
      <c r="J45" s="14"/>
      <c r="K45" s="52"/>
      <c r="L45" s="53"/>
    </row>
    <row r="46" spans="1:12" ht="15.6" x14ac:dyDescent="0.3">
      <c r="A46" s="180"/>
      <c r="B46" s="47"/>
      <c r="C46" s="64"/>
      <c r="D46" s="50">
        <v>6</v>
      </c>
      <c r="E46" s="50">
        <v>50</v>
      </c>
      <c r="F46" s="12">
        <v>26.66</v>
      </c>
      <c r="G46" s="12"/>
      <c r="H46" s="170">
        <f>D46*IF(OR(E46=0,E46="-"),1,E46)*IF(OR(F46=0,F46="-"),1,F46)*IF(OR(G46=0,G46="-"),1,G46)</f>
        <v>7998</v>
      </c>
      <c r="I46" s="51" t="s">
        <v>14</v>
      </c>
      <c r="J46" s="14"/>
      <c r="K46" s="52"/>
      <c r="L46" s="53"/>
    </row>
    <row r="47" spans="1:12" ht="15.6" customHeight="1" x14ac:dyDescent="0.3">
      <c r="A47" s="180"/>
      <c r="B47" s="54"/>
      <c r="C47" s="12"/>
      <c r="D47" s="50">
        <v>1</v>
      </c>
      <c r="E47" s="56">
        <v>8.5</v>
      </c>
      <c r="F47" s="50">
        <v>26</v>
      </c>
      <c r="G47" s="18"/>
      <c r="H47" s="167">
        <f>D47*IF(OR(E47=0,E47="-"),1,E47)*IF(OR(F47=0,F47="-"),1,F47)*IF(OR(G47=0,G47="-"),1,G47)</f>
        <v>221</v>
      </c>
      <c r="I47" s="19" t="s">
        <v>14</v>
      </c>
      <c r="J47" s="14"/>
      <c r="K47" s="52"/>
      <c r="L47" s="53"/>
    </row>
    <row r="48" spans="1:12" ht="15.6" x14ac:dyDescent="0.3">
      <c r="A48" s="181"/>
      <c r="B48" s="58"/>
      <c r="C48" s="21"/>
      <c r="D48" s="58"/>
      <c r="E48" s="58"/>
      <c r="F48" s="127" t="s">
        <v>15</v>
      </c>
      <c r="G48" s="127"/>
      <c r="H48" s="171">
        <f>SUM(H44:INDEX(H:H,ROW()-1))</f>
        <v>10513.25</v>
      </c>
      <c r="I48" s="67" t="s">
        <v>14</v>
      </c>
      <c r="J48" s="23"/>
      <c r="K48" s="164">
        <f>0</f>
        <v>0</v>
      </c>
      <c r="L48" s="59"/>
    </row>
    <row r="49" spans="1:12" s="76" customFormat="1" ht="62.4" x14ac:dyDescent="0.3">
      <c r="A49" s="182"/>
      <c r="B49" s="60"/>
      <c r="C49" s="26"/>
      <c r="D49" s="60"/>
      <c r="E49" s="128" t="s">
        <v>16</v>
      </c>
      <c r="F49" s="128"/>
      <c r="G49" s="128"/>
      <c r="H49" s="172">
        <f>ROUND(H48*0.0929,3)</f>
        <v>976.68100000000004</v>
      </c>
      <c r="I49" s="27" t="s">
        <v>17</v>
      </c>
      <c r="J49" s="23" t="s">
        <v>30</v>
      </c>
      <c r="K49" s="165">
        <f>IF(B43="17.69.2",IF(J49="Labour Rate Amnd",88,IF(J49="Machinery Rate Amnd",5,IF(J49="Material Rate Amnd",562,IF(J49="Through Rate Amnd",655,IF(J49="Labour Rate",40,IF(J49="Machinery Rate",5,IF(J49="Material Rate",562,IF(J49="Through Rate",607,IF(J49="Labour + Machinery Rate",45,IF(J49="Labour + Machinery Rate Amnd",93,0)))))))))),"")</f>
        <v>93</v>
      </c>
      <c r="L49" s="160">
        <f>IF(H49*K49&lt;&gt;0,H49*K49,0)</f>
        <v>90831.332999999999</v>
      </c>
    </row>
    <row r="50" spans="1:12" ht="13.95" customHeight="1" x14ac:dyDescent="0.3">
      <c r="A50" s="183"/>
      <c r="B50" s="61"/>
      <c r="C50" s="29"/>
      <c r="D50" s="61"/>
      <c r="E50" s="116"/>
      <c r="F50" s="116"/>
      <c r="G50" s="116"/>
      <c r="H50" s="77"/>
      <c r="I50" s="78"/>
      <c r="J50" s="79"/>
      <c r="K50" s="80"/>
      <c r="L50" s="81"/>
    </row>
    <row r="51" spans="1:12" s="136" customFormat="1" ht="41.4" x14ac:dyDescent="0.3">
      <c r="A51" s="179">
        <f>IFERROR(LOOKUP(2,1/(ISNUMBER($A$5:$A$50)),$A$5:$A$50),0)+1</f>
        <v>7</v>
      </c>
      <c r="B51" s="131" t="s">
        <v>33</v>
      </c>
      <c r="C51" s="146" t="s">
        <v>42</v>
      </c>
      <c r="D51" s="132"/>
      <c r="E51" s="133"/>
      <c r="F51" s="133"/>
      <c r="G51" s="133"/>
      <c r="H51" s="82"/>
      <c r="I51" s="134"/>
      <c r="J51" s="79"/>
      <c r="K51" s="80"/>
      <c r="L51" s="135"/>
    </row>
    <row r="52" spans="1:12" ht="15.6" x14ac:dyDescent="0.3">
      <c r="A52" s="180"/>
      <c r="B52" s="47"/>
      <c r="C52" s="35"/>
      <c r="D52" s="50">
        <v>1</v>
      </c>
      <c r="E52" s="50">
        <v>26</v>
      </c>
      <c r="F52" s="50">
        <v>2.25</v>
      </c>
      <c r="G52" s="50"/>
      <c r="H52" s="126">
        <f>D52*IF(OR(E52=0,E52="-"),1,E52)*IF(OR(F52=0,F52="-"),1,F52)*IF(OR(G52=0,G52="-"),1,G52)</f>
        <v>58.5</v>
      </c>
      <c r="I52" s="83" t="s">
        <v>14</v>
      </c>
      <c r="J52" s="84"/>
      <c r="K52" s="85"/>
      <c r="L52" s="86"/>
    </row>
    <row r="53" spans="1:12" ht="15.6" x14ac:dyDescent="0.3">
      <c r="A53" s="180"/>
      <c r="B53" s="47"/>
      <c r="C53" s="35"/>
      <c r="D53" s="50">
        <v>1</v>
      </c>
      <c r="E53" s="50">
        <v>8</v>
      </c>
      <c r="F53" s="50">
        <v>1.33</v>
      </c>
      <c r="G53" s="50"/>
      <c r="H53" s="126">
        <f>D53*IF(OR(E53=0,E53="-"),1,E53)*IF(OR(F53=0,F53="-"),1,F53)*IF(OR(G53=0,G53="-"),1,G53)</f>
        <v>10.64</v>
      </c>
      <c r="I53" s="83" t="s">
        <v>14</v>
      </c>
      <c r="J53" s="84"/>
      <c r="K53" s="85"/>
      <c r="L53" s="86"/>
    </row>
    <row r="54" spans="1:12" ht="15.6" x14ac:dyDescent="0.3">
      <c r="A54" s="180"/>
      <c r="B54" s="47"/>
      <c r="C54" s="35"/>
      <c r="D54" s="50">
        <v>1</v>
      </c>
      <c r="E54" s="50">
        <v>14</v>
      </c>
      <c r="F54" s="50">
        <v>1.1599999999999999</v>
      </c>
      <c r="G54" s="50"/>
      <c r="H54" s="126">
        <f>D54*IF(OR(E54=0,E54="-"),1,E54)*IF(OR(F54=0,F54="-"),1,F54)*IF(OR(G54=0,G54="-"),1,G54)</f>
        <v>16.239999999999998</v>
      </c>
      <c r="I54" s="83" t="s">
        <v>14</v>
      </c>
      <c r="J54" s="84"/>
      <c r="K54" s="85"/>
      <c r="L54" s="86"/>
    </row>
    <row r="55" spans="1:12" ht="15.6" x14ac:dyDescent="0.3">
      <c r="A55" s="180"/>
      <c r="B55" s="54"/>
      <c r="C55" s="87"/>
      <c r="D55" s="50">
        <v>1</v>
      </c>
      <c r="E55" s="50">
        <v>25</v>
      </c>
      <c r="F55" s="50">
        <v>1</v>
      </c>
      <c r="G55" s="50"/>
      <c r="H55" s="126">
        <f>D55*IF(OR(E55=0,E55="-"),1,E55)*IF(OR(F55=0,F55="-"),1,F55)*IF(OR(G55=0,G55="-"),1,G55)</f>
        <v>25</v>
      </c>
      <c r="I55" s="83" t="s">
        <v>14</v>
      </c>
      <c r="J55" s="84"/>
      <c r="K55" s="85"/>
      <c r="L55" s="88"/>
    </row>
    <row r="56" spans="1:12" ht="15.6" x14ac:dyDescent="0.3">
      <c r="A56" s="181"/>
      <c r="B56" s="58"/>
      <c r="C56" s="21"/>
      <c r="D56" s="58"/>
      <c r="E56" s="58"/>
      <c r="F56" s="127" t="s">
        <v>15</v>
      </c>
      <c r="G56" s="127"/>
      <c r="H56" s="125">
        <f>SUM(H52:INDEX(H:H,ROW()-1))</f>
        <v>110.38</v>
      </c>
      <c r="I56" s="89" t="s">
        <v>14</v>
      </c>
      <c r="J56" s="90"/>
      <c r="K56" s="166">
        <f>0</f>
        <v>0</v>
      </c>
      <c r="L56" s="91"/>
    </row>
    <row r="57" spans="1:12" s="76" customFormat="1" ht="36" x14ac:dyDescent="0.3">
      <c r="A57" s="92" t="s">
        <v>34</v>
      </c>
      <c r="B57" s="60"/>
      <c r="C57" s="26"/>
      <c r="D57" s="60"/>
      <c r="E57" s="128" t="s">
        <v>16</v>
      </c>
      <c r="F57" s="128"/>
      <c r="G57" s="128"/>
      <c r="H57" s="125">
        <f>ROUND(H56*0.0929,3)</f>
        <v>10.254</v>
      </c>
      <c r="I57" s="93" t="s">
        <v>17</v>
      </c>
      <c r="J57" s="94" t="s">
        <v>18</v>
      </c>
      <c r="K57" s="184">
        <f>IF(B51="10.8",IF(J57="Labour Rate",70,IF(J57="Material Rate",112,IF(J57="Through Rate",181,0))),"")</f>
        <v>70</v>
      </c>
      <c r="L57" s="161">
        <f>IF(H57*K57&lt;&gt;0,H57*K57,0)</f>
        <v>717.78</v>
      </c>
    </row>
    <row r="58" spans="1:12" ht="13.95" customHeight="1" thickBot="1" x14ac:dyDescent="0.35">
      <c r="A58" s="185"/>
      <c r="B58" s="186"/>
      <c r="C58" s="187"/>
      <c r="D58" s="188"/>
      <c r="E58" s="188"/>
      <c r="F58" s="188"/>
      <c r="G58" s="188"/>
      <c r="H58" s="189"/>
      <c r="I58" s="190"/>
      <c r="J58" s="190"/>
      <c r="K58" s="188"/>
      <c r="L58" s="191"/>
    </row>
    <row r="59" spans="1:12" ht="15.6" customHeight="1" thickTop="1" x14ac:dyDescent="0.3">
      <c r="H59" s="154"/>
      <c r="I59" s="154"/>
      <c r="J59" s="98" t="s">
        <v>35</v>
      </c>
      <c r="K59" s="99"/>
      <c r="L59" s="100">
        <f>SUM(L6:INDEX(L:L,ROW()-1))</f>
        <v>128027.283</v>
      </c>
    </row>
    <row r="60" spans="1:12" ht="15.6" customHeight="1" x14ac:dyDescent="0.3">
      <c r="H60" s="154"/>
      <c r="I60" s="154"/>
      <c r="J60" s="101" t="s">
        <v>36</v>
      </c>
      <c r="K60" s="102"/>
      <c r="L60" s="103">
        <f>$L$59*0.18</f>
        <v>23044.910939999998</v>
      </c>
    </row>
    <row r="61" spans="1:12" ht="15.6" customHeight="1" x14ac:dyDescent="0.3">
      <c r="H61" s="154"/>
      <c r="I61" s="154"/>
      <c r="J61" s="101" t="s">
        <v>37</v>
      </c>
      <c r="K61" s="102"/>
      <c r="L61" s="103">
        <f>$L$59+$L$60</f>
        <v>151072.19394</v>
      </c>
    </row>
    <row r="62" spans="1:12" ht="15.6" customHeight="1" x14ac:dyDescent="0.3">
      <c r="H62" s="154"/>
      <c r="I62" s="154"/>
      <c r="J62" s="101" t="s">
        <v>38</v>
      </c>
      <c r="K62" s="102"/>
      <c r="L62" s="103">
        <f>$L$61*0.01</f>
        <v>1510.7219394000001</v>
      </c>
    </row>
    <row r="63" spans="1:12" ht="15.6" customHeight="1" thickBot="1" x14ac:dyDescent="0.35">
      <c r="H63" s="154"/>
      <c r="I63" s="154"/>
      <c r="J63" s="104" t="s">
        <v>39</v>
      </c>
      <c r="K63" s="105"/>
      <c r="L63" s="106">
        <f>$L$61+$L$62</f>
        <v>152582.91587940001</v>
      </c>
    </row>
    <row r="64" spans="1:12" ht="15.6" customHeight="1" thickTop="1" x14ac:dyDescent="0.3">
      <c r="H64" s="154"/>
      <c r="I64" s="154"/>
      <c r="J64" s="107" t="s">
        <v>40</v>
      </c>
      <c r="K64" s="108"/>
      <c r="L64" s="109"/>
    </row>
    <row r="65" spans="5:13" ht="36" x14ac:dyDescent="0.3">
      <c r="H65" s="154"/>
      <c r="I65" s="155" t="s">
        <v>41</v>
      </c>
      <c r="J65" s="156" t="str">
        <f>IF(L63&gt;=10000000,ROUND(L63/10000000,2)&amp;" Crore",IF(L63&gt;=100000,ROUND(L63/100000,2)&amp;" Lakh",IF(L63&gt;=1000,ROUND(L63/1000,2)&amp;" Thousand",ROUND(L63,0)))) &amp; " Only"</f>
        <v>1.53 Lakh Only</v>
      </c>
      <c r="K65" s="157"/>
      <c r="L65" s="157"/>
    </row>
    <row r="66" spans="5:13" ht="15.6" customHeight="1" x14ac:dyDescent="0.3"/>
    <row r="67" spans="5:13" ht="15.6" customHeight="1" x14ac:dyDescent="0.3"/>
    <row r="68" spans="5:13" ht="15.6" customHeight="1" x14ac:dyDescent="0.3"/>
    <row r="69" spans="5:13" ht="15.6" customHeight="1" x14ac:dyDescent="0.3"/>
    <row r="70" spans="5:13" ht="15.6" customHeight="1" x14ac:dyDescent="0.3"/>
    <row r="71" spans="5:13" ht="15.6" customHeight="1" x14ac:dyDescent="0.3"/>
    <row r="72" spans="5:13" ht="15.6" customHeight="1" x14ac:dyDescent="0.3"/>
    <row r="73" spans="5:13" ht="15.6" customHeight="1" x14ac:dyDescent="0.3"/>
    <row r="74" spans="5:13" ht="15.6" customHeight="1" x14ac:dyDescent="0.3"/>
    <row r="75" spans="5:13" ht="15.6" customHeight="1" x14ac:dyDescent="0.3"/>
    <row r="76" spans="5:13" ht="15.6" customHeight="1" x14ac:dyDescent="0.3"/>
    <row r="77" spans="5:13" ht="15.6" customHeight="1" x14ac:dyDescent="0.3">
      <c r="E77" s="113"/>
      <c r="F77" s="113"/>
      <c r="G77" s="113"/>
      <c r="H77" s="114"/>
      <c r="I77" s="115"/>
      <c r="J77" s="113"/>
      <c r="K77" s="113"/>
      <c r="L77" s="113"/>
      <c r="M77"/>
    </row>
    <row r="78" spans="5:13" ht="15.6" customHeight="1" x14ac:dyDescent="0.3">
      <c r="E78" s="113"/>
      <c r="F78" s="113"/>
      <c r="G78" s="113"/>
      <c r="H78" s="114"/>
      <c r="I78" s="115"/>
      <c r="J78" s="113"/>
      <c r="K78" s="113"/>
      <c r="L78" s="113"/>
      <c r="M78"/>
    </row>
    <row r="79" spans="5:13" ht="15.6" hidden="1" customHeight="1" x14ac:dyDescent="0.3">
      <c r="E79" s="113"/>
      <c r="F79" s="113"/>
      <c r="G79" s="113"/>
      <c r="H79" s="114"/>
      <c r="I79" s="115"/>
      <c r="J79" s="113"/>
      <c r="K79" s="113"/>
      <c r="L79" s="113"/>
      <c r="M79"/>
    </row>
    <row r="80" spans="5:13" ht="15.6" hidden="1" customHeight="1" x14ac:dyDescent="0.3">
      <c r="E80" s="113"/>
      <c r="F80" s="113"/>
      <c r="G80" s="113"/>
      <c r="H80" s="114"/>
      <c r="I80" s="115"/>
      <c r="J80" s="113"/>
      <c r="K80" s="113"/>
      <c r="L80" s="113"/>
      <c r="M80"/>
    </row>
    <row r="81" spans="5:13" ht="15.6" hidden="1" customHeight="1" x14ac:dyDescent="0.3">
      <c r="E81" s="113"/>
      <c r="F81" s="113"/>
      <c r="G81" s="113"/>
      <c r="H81" s="114"/>
      <c r="I81" s="115"/>
      <c r="J81" s="113"/>
      <c r="K81" s="113"/>
      <c r="L81" s="113"/>
      <c r="M81"/>
    </row>
    <row r="82" spans="5:13" ht="15.6" hidden="1" customHeight="1" x14ac:dyDescent="0.3">
      <c r="E82" s="113"/>
      <c r="F82" s="113"/>
      <c r="G82" s="113"/>
      <c r="H82" s="114"/>
      <c r="I82" s="115"/>
      <c r="J82" s="113"/>
      <c r="K82" s="113"/>
      <c r="L82" s="113"/>
      <c r="M82"/>
    </row>
    <row r="83" spans="5:13" ht="15.6" hidden="1" customHeight="1" x14ac:dyDescent="0.3">
      <c r="E83" s="113"/>
      <c r="F83" s="113"/>
      <c r="G83" s="113"/>
      <c r="H83" s="114"/>
      <c r="I83" s="115"/>
      <c r="J83" s="113"/>
      <c r="K83" s="113"/>
      <c r="L83" s="113"/>
      <c r="M83"/>
    </row>
    <row r="84" spans="5:13" ht="15.6" hidden="1" customHeight="1" x14ac:dyDescent="0.3">
      <c r="E84" s="113"/>
      <c r="F84" s="113"/>
      <c r="G84" s="113"/>
      <c r="H84" s="114"/>
      <c r="I84" s="115"/>
      <c r="J84" s="113"/>
      <c r="K84" s="113"/>
      <c r="L84" s="113"/>
      <c r="M84"/>
    </row>
    <row r="85" spans="5:13" ht="15.6" hidden="1" customHeight="1" x14ac:dyDescent="0.3">
      <c r="E85" s="113"/>
      <c r="F85" s="113"/>
      <c r="G85" s="113"/>
      <c r="H85" s="114"/>
      <c r="I85" s="115"/>
      <c r="J85" s="113"/>
      <c r="K85" s="113"/>
      <c r="L85" s="113"/>
      <c r="M85"/>
    </row>
    <row r="86" spans="5:13" ht="15.6" hidden="1" customHeight="1" x14ac:dyDescent="0.3">
      <c r="E86" s="113"/>
      <c r="F86" s="113"/>
      <c r="G86" s="113"/>
      <c r="H86" s="114"/>
      <c r="I86" s="115"/>
      <c r="J86" s="113"/>
      <c r="K86" s="113"/>
      <c r="L86" s="113"/>
      <c r="M86"/>
    </row>
    <row r="87" spans="5:13" ht="15.6" hidden="1" customHeight="1" x14ac:dyDescent="0.3">
      <c r="E87" s="113"/>
      <c r="F87" s="113"/>
      <c r="G87" s="113"/>
      <c r="H87" s="114"/>
      <c r="I87" s="115"/>
      <c r="J87" s="113"/>
      <c r="K87" s="113"/>
      <c r="L87" s="113"/>
      <c r="M87"/>
    </row>
    <row r="88" spans="5:13" ht="15.6" hidden="1" customHeight="1" x14ac:dyDescent="0.3">
      <c r="E88" s="113"/>
      <c r="F88" s="113"/>
      <c r="G88" s="113"/>
      <c r="H88" s="114"/>
      <c r="I88" s="115"/>
      <c r="J88" s="113"/>
      <c r="K88" s="113"/>
      <c r="L88" s="113"/>
      <c r="M88"/>
    </row>
    <row r="89" spans="5:13" ht="15.6" hidden="1" customHeight="1" x14ac:dyDescent="0.3">
      <c r="E89" s="113"/>
      <c r="F89" s="113"/>
      <c r="G89" s="113"/>
      <c r="H89" s="114"/>
      <c r="I89" s="115"/>
      <c r="J89" s="113"/>
      <c r="K89" s="113"/>
      <c r="L89" s="113"/>
      <c r="M89"/>
    </row>
    <row r="90" spans="5:13" ht="15.6" hidden="1" customHeight="1" x14ac:dyDescent="0.3">
      <c r="E90" s="113"/>
      <c r="F90" s="113"/>
      <c r="G90" s="113"/>
      <c r="H90" s="114"/>
      <c r="I90" s="115"/>
      <c r="J90" s="113"/>
      <c r="K90" s="113"/>
      <c r="L90" s="113"/>
      <c r="M90"/>
    </row>
    <row r="91" spans="5:13" ht="15.6" hidden="1" customHeight="1" x14ac:dyDescent="0.3">
      <c r="E91" s="113"/>
      <c r="F91" s="113"/>
      <c r="G91" s="113"/>
      <c r="H91" s="114"/>
      <c r="I91" s="115"/>
      <c r="J91" s="113"/>
      <c r="K91" s="113"/>
      <c r="L91" s="113"/>
      <c r="M91"/>
    </row>
    <row r="92" spans="5:13" ht="15.6" hidden="1" customHeight="1" x14ac:dyDescent="0.3">
      <c r="E92" s="113"/>
      <c r="F92" s="113"/>
      <c r="G92" s="113"/>
      <c r="H92" s="114"/>
      <c r="I92" s="115"/>
      <c r="J92" s="113"/>
      <c r="K92" s="113"/>
      <c r="L92" s="113"/>
      <c r="M92"/>
    </row>
    <row r="93" spans="5:13" ht="15.6" hidden="1" customHeight="1" x14ac:dyDescent="0.3">
      <c r="E93" s="113"/>
      <c r="F93" s="113"/>
      <c r="G93" s="113"/>
      <c r="H93" s="114"/>
      <c r="I93" s="115"/>
      <c r="J93" s="113"/>
      <c r="K93" s="113"/>
      <c r="L93" s="113"/>
      <c r="M93"/>
    </row>
    <row r="94" spans="5:13" ht="15.6" hidden="1" customHeight="1" x14ac:dyDescent="0.3">
      <c r="E94" s="113"/>
      <c r="F94" s="113"/>
      <c r="G94" s="113"/>
      <c r="H94" s="114"/>
      <c r="I94" s="115"/>
      <c r="J94" s="113"/>
      <c r="K94" s="113"/>
      <c r="L94" s="113"/>
      <c r="M94"/>
    </row>
    <row r="95" spans="5:13" ht="15.6" hidden="1" customHeight="1" x14ac:dyDescent="0.3">
      <c r="E95" s="113"/>
      <c r="F95" s="113"/>
      <c r="G95" s="113"/>
      <c r="H95" s="114"/>
      <c r="I95" s="115"/>
      <c r="J95" s="113"/>
      <c r="K95" s="113"/>
      <c r="L95" s="113"/>
      <c r="M95"/>
    </row>
    <row r="96" spans="5:13" ht="15.6" hidden="1" customHeight="1" x14ac:dyDescent="0.3">
      <c r="E96" s="113"/>
      <c r="F96" s="113"/>
      <c r="G96" s="113"/>
      <c r="H96" s="114"/>
      <c r="I96" s="115"/>
      <c r="J96" s="113"/>
      <c r="K96" s="113"/>
      <c r="L96" s="113"/>
      <c r="M96"/>
    </row>
    <row r="97" spans="5:13" ht="15.6" hidden="1" customHeight="1" x14ac:dyDescent="0.3">
      <c r="E97" s="113"/>
      <c r="F97" s="113"/>
      <c r="G97" s="113"/>
      <c r="H97" s="114"/>
      <c r="I97" s="115"/>
      <c r="J97" s="113"/>
      <c r="K97" s="113"/>
      <c r="L97" s="113"/>
      <c r="M97"/>
    </row>
    <row r="98" spans="5:13" ht="15.6" hidden="1" customHeight="1" x14ac:dyDescent="0.3">
      <c r="E98" s="113"/>
      <c r="F98" s="113"/>
      <c r="G98" s="113"/>
      <c r="H98" s="114"/>
      <c r="I98" s="115"/>
      <c r="J98" s="113"/>
      <c r="K98" s="113"/>
      <c r="L98" s="113"/>
      <c r="M98"/>
    </row>
    <row r="99" spans="5:13" ht="15.6" hidden="1" customHeight="1" x14ac:dyDescent="0.3">
      <c r="E99" s="113"/>
      <c r="F99" s="113"/>
      <c r="G99" s="113"/>
      <c r="H99" s="114"/>
      <c r="I99" s="115"/>
      <c r="J99" s="113"/>
      <c r="K99" s="113"/>
      <c r="L99" s="113"/>
      <c r="M99"/>
    </row>
    <row r="100" spans="5:13" ht="15.6" hidden="1" customHeight="1" x14ac:dyDescent="0.3">
      <c r="E100" s="113"/>
      <c r="F100" s="113"/>
      <c r="G100" s="113"/>
      <c r="H100" s="114"/>
      <c r="I100" s="115"/>
      <c r="J100" s="113"/>
      <c r="K100" s="113"/>
      <c r="L100" s="113"/>
      <c r="M100"/>
    </row>
    <row r="101" spans="5:13" ht="15.6" hidden="1" customHeight="1" x14ac:dyDescent="0.3">
      <c r="E101" s="113"/>
      <c r="F101" s="113"/>
      <c r="G101" s="113"/>
      <c r="H101" s="114"/>
      <c r="I101" s="115"/>
      <c r="J101" s="113"/>
      <c r="K101" s="113"/>
      <c r="L101" s="113"/>
      <c r="M101"/>
    </row>
    <row r="102" spans="5:13" ht="15.6" hidden="1" customHeight="1" x14ac:dyDescent="0.3">
      <c r="E102" s="113"/>
      <c r="F102" s="113"/>
      <c r="G102" s="113"/>
      <c r="H102" s="114"/>
      <c r="I102" s="115"/>
      <c r="J102" s="113"/>
      <c r="K102" s="113"/>
      <c r="L102" s="113"/>
      <c r="M102"/>
    </row>
    <row r="103" spans="5:13" ht="15.6" hidden="1" customHeight="1" x14ac:dyDescent="0.3">
      <c r="E103" s="113"/>
      <c r="F103" s="113"/>
      <c r="G103" s="113"/>
      <c r="H103" s="114"/>
      <c r="I103" s="115"/>
      <c r="J103" s="113"/>
      <c r="K103" s="113"/>
      <c r="L103" s="113"/>
      <c r="M103"/>
    </row>
    <row r="104" spans="5:13" ht="15.6" hidden="1" customHeight="1" x14ac:dyDescent="0.3">
      <c r="E104" s="113"/>
      <c r="F104" s="113"/>
      <c r="G104" s="113"/>
      <c r="H104" s="114"/>
      <c r="I104" s="115"/>
      <c r="J104" s="113"/>
      <c r="K104" s="113"/>
      <c r="L104" s="113"/>
      <c r="M104"/>
    </row>
    <row r="105" spans="5:13" ht="15.6" hidden="1" customHeight="1" x14ac:dyDescent="0.3">
      <c r="E105" s="113"/>
      <c r="F105" s="113"/>
      <c r="G105" s="113"/>
      <c r="H105" s="114"/>
      <c r="I105" s="115"/>
      <c r="J105" s="113"/>
      <c r="K105" s="113"/>
      <c r="L105" s="113"/>
      <c r="M105"/>
    </row>
    <row r="106" spans="5:13" ht="15.6" hidden="1" customHeight="1" x14ac:dyDescent="0.3">
      <c r="E106" s="113"/>
      <c r="F106" s="113"/>
      <c r="G106" s="113"/>
      <c r="H106" s="114"/>
      <c r="I106" s="115"/>
      <c r="J106" s="113"/>
      <c r="K106" s="113"/>
      <c r="L106" s="113"/>
      <c r="M106"/>
    </row>
    <row r="107" spans="5:13" ht="15.6" hidden="1" customHeight="1" x14ac:dyDescent="0.3">
      <c r="E107" s="113"/>
      <c r="F107" s="113"/>
      <c r="G107" s="113"/>
      <c r="H107" s="114"/>
      <c r="I107" s="115"/>
      <c r="J107" s="113"/>
      <c r="K107" s="113"/>
      <c r="L107" s="113"/>
      <c r="M107"/>
    </row>
    <row r="108" spans="5:13" ht="15.6" hidden="1" customHeight="1" x14ac:dyDescent="0.3">
      <c r="E108" s="113"/>
      <c r="F108" s="113"/>
      <c r="G108" s="113"/>
      <c r="H108" s="114"/>
      <c r="I108" s="115"/>
      <c r="J108" s="113"/>
      <c r="K108" s="113"/>
      <c r="L108" s="113"/>
      <c r="M108"/>
    </row>
    <row r="109" spans="5:13" ht="15.6" hidden="1" customHeight="1" x14ac:dyDescent="0.3">
      <c r="E109" s="113"/>
      <c r="F109" s="113"/>
      <c r="G109" s="113"/>
      <c r="H109" s="114"/>
      <c r="I109" s="115"/>
      <c r="J109" s="113"/>
      <c r="K109" s="113"/>
      <c r="L109" s="113"/>
      <c r="M109"/>
    </row>
    <row r="110" spans="5:13" ht="15.6" hidden="1" customHeight="1" x14ac:dyDescent="0.3">
      <c r="E110" s="113"/>
      <c r="F110" s="113"/>
      <c r="G110" s="113"/>
      <c r="H110" s="114"/>
      <c r="I110" s="115"/>
      <c r="J110" s="113"/>
      <c r="K110" s="113"/>
      <c r="L110" s="113"/>
      <c r="M110"/>
    </row>
    <row r="111" spans="5:13" ht="15.6" hidden="1" customHeight="1" x14ac:dyDescent="0.3">
      <c r="E111" s="113"/>
      <c r="F111" s="113"/>
      <c r="G111" s="113"/>
      <c r="H111" s="114"/>
      <c r="I111" s="115"/>
      <c r="J111" s="113"/>
      <c r="K111" s="113"/>
      <c r="L111" s="113"/>
      <c r="M111"/>
    </row>
    <row r="112" spans="5:13" ht="15.6" hidden="1" customHeight="1" x14ac:dyDescent="0.3">
      <c r="E112" s="113"/>
      <c r="F112" s="113"/>
      <c r="G112" s="113"/>
      <c r="H112" s="114"/>
      <c r="I112" s="115"/>
      <c r="J112" s="113"/>
      <c r="K112" s="113"/>
      <c r="L112" s="113"/>
      <c r="M112"/>
    </row>
    <row r="113" spans="5:13" ht="15.6" hidden="1" customHeight="1" x14ac:dyDescent="0.3">
      <c r="E113" s="113"/>
      <c r="F113" s="113"/>
      <c r="G113" s="113"/>
      <c r="H113" s="114"/>
      <c r="I113" s="115"/>
      <c r="J113" s="113"/>
      <c r="K113" s="113"/>
      <c r="L113" s="113"/>
      <c r="M113"/>
    </row>
    <row r="114" spans="5:13" ht="15.6" hidden="1" customHeight="1" x14ac:dyDescent="0.3">
      <c r="E114" s="113"/>
      <c r="F114" s="113"/>
      <c r="G114" s="113"/>
      <c r="H114" s="114"/>
      <c r="I114" s="115"/>
      <c r="J114" s="113"/>
      <c r="K114" s="113"/>
      <c r="L114" s="113"/>
      <c r="M114"/>
    </row>
    <row r="115" spans="5:13" ht="15.6" hidden="1" customHeight="1" x14ac:dyDescent="0.3">
      <c r="E115" s="113"/>
      <c r="F115" s="113"/>
      <c r="G115" s="113"/>
      <c r="H115" s="114"/>
      <c r="I115" s="115"/>
      <c r="J115" s="113"/>
      <c r="K115" s="113"/>
      <c r="L115" s="113"/>
      <c r="M115"/>
    </row>
    <row r="116" spans="5:13" ht="15.6" hidden="1" customHeight="1" x14ac:dyDescent="0.3">
      <c r="E116" s="113"/>
      <c r="F116" s="113"/>
      <c r="G116" s="113"/>
      <c r="H116" s="114"/>
      <c r="I116" s="115"/>
      <c r="J116" s="113"/>
      <c r="K116" s="113"/>
      <c r="L116" s="113"/>
      <c r="M116"/>
    </row>
    <row r="117" spans="5:13" ht="15.6" hidden="1" customHeight="1" x14ac:dyDescent="0.3">
      <c r="E117" s="113"/>
      <c r="F117" s="113"/>
      <c r="G117" s="113"/>
      <c r="H117" s="114"/>
      <c r="I117" s="115"/>
      <c r="J117" s="113"/>
      <c r="K117" s="113"/>
      <c r="L117" s="113"/>
      <c r="M117"/>
    </row>
    <row r="118" spans="5:13" ht="15.6" hidden="1" customHeight="1" x14ac:dyDescent="0.3">
      <c r="E118" s="113"/>
      <c r="F118" s="113"/>
      <c r="G118" s="113"/>
      <c r="H118" s="114"/>
      <c r="I118" s="115"/>
      <c r="J118" s="113"/>
      <c r="K118" s="113"/>
      <c r="L118" s="113"/>
      <c r="M118"/>
    </row>
    <row r="119" spans="5:13" ht="15.6" hidden="1" customHeight="1" x14ac:dyDescent="0.3">
      <c r="E119" s="113"/>
      <c r="F119" s="113"/>
      <c r="G119" s="113"/>
      <c r="H119" s="114"/>
      <c r="I119" s="115"/>
      <c r="J119" s="113"/>
      <c r="K119" s="113"/>
      <c r="L119" s="113"/>
      <c r="M119"/>
    </row>
    <row r="120" spans="5:13" ht="15.6" hidden="1" customHeight="1" x14ac:dyDescent="0.3">
      <c r="E120" s="113"/>
      <c r="F120" s="113"/>
      <c r="G120" s="113"/>
      <c r="H120" s="114"/>
      <c r="I120" s="115"/>
      <c r="J120" s="113"/>
      <c r="K120" s="113"/>
      <c r="L120" s="113"/>
      <c r="M120"/>
    </row>
    <row r="121" spans="5:13" ht="15.6" hidden="1" customHeight="1" x14ac:dyDescent="0.3">
      <c r="E121" s="113"/>
      <c r="F121" s="113"/>
      <c r="G121" s="113"/>
      <c r="H121" s="114"/>
      <c r="I121" s="115"/>
      <c r="J121" s="113"/>
      <c r="K121" s="113"/>
      <c r="L121" s="113"/>
      <c r="M121"/>
    </row>
    <row r="122" spans="5:13" ht="15.6" hidden="1" customHeight="1" x14ac:dyDescent="0.3">
      <c r="E122" s="113"/>
      <c r="F122" s="113"/>
      <c r="G122" s="113"/>
      <c r="H122" s="114"/>
      <c r="I122" s="115"/>
      <c r="J122" s="113"/>
      <c r="K122" s="113"/>
      <c r="L122" s="113"/>
      <c r="M122"/>
    </row>
    <row r="123" spans="5:13" ht="15.6" hidden="1" customHeight="1" x14ac:dyDescent="0.3">
      <c r="E123" s="113"/>
      <c r="F123" s="113"/>
      <c r="G123" s="113"/>
      <c r="H123" s="114"/>
      <c r="I123" s="115"/>
      <c r="J123" s="113"/>
      <c r="K123" s="113"/>
      <c r="L123" s="113"/>
      <c r="M123"/>
    </row>
    <row r="124" spans="5:13" ht="15.6" hidden="1" customHeight="1" x14ac:dyDescent="0.3">
      <c r="E124" s="113"/>
      <c r="F124" s="113"/>
      <c r="G124" s="113"/>
      <c r="H124" s="114"/>
      <c r="I124" s="115"/>
      <c r="J124" s="113"/>
      <c r="K124" s="113"/>
      <c r="L124" s="113"/>
      <c r="M124"/>
    </row>
    <row r="125" spans="5:13" ht="15.6" hidden="1" customHeight="1" x14ac:dyDescent="0.3">
      <c r="E125" s="113"/>
      <c r="F125" s="113"/>
      <c r="G125" s="113"/>
      <c r="H125" s="114"/>
      <c r="I125" s="115"/>
      <c r="J125" s="113"/>
      <c r="K125" s="113"/>
      <c r="L125" s="113"/>
      <c r="M125"/>
    </row>
    <row r="126" spans="5:13" ht="15.6" hidden="1" customHeight="1" x14ac:dyDescent="0.3">
      <c r="E126" s="113"/>
      <c r="F126" s="113"/>
      <c r="G126" s="113"/>
      <c r="H126" s="114"/>
      <c r="I126" s="115"/>
      <c r="J126" s="113"/>
      <c r="K126" s="113"/>
      <c r="L126" s="113"/>
      <c r="M126"/>
    </row>
    <row r="127" spans="5:13" ht="15.6" hidden="1" customHeight="1" x14ac:dyDescent="0.3">
      <c r="E127" s="113"/>
      <c r="F127" s="113"/>
      <c r="G127" s="113"/>
      <c r="H127" s="114"/>
      <c r="I127" s="115"/>
      <c r="J127" s="113"/>
      <c r="K127" s="113"/>
      <c r="L127" s="113"/>
      <c r="M127"/>
    </row>
    <row r="128" spans="5:13" ht="15.6" hidden="1" customHeight="1" x14ac:dyDescent="0.3">
      <c r="E128" s="113"/>
      <c r="F128" s="113"/>
      <c r="G128" s="113"/>
      <c r="H128" s="114"/>
      <c r="I128" s="115"/>
      <c r="J128" s="113"/>
      <c r="K128" s="113"/>
      <c r="L128" s="113"/>
      <c r="M128"/>
    </row>
    <row r="129" spans="5:13" ht="15.6" hidden="1" customHeight="1" x14ac:dyDescent="0.3">
      <c r="E129" s="113"/>
      <c r="F129" s="113"/>
      <c r="G129" s="113"/>
      <c r="H129" s="114"/>
      <c r="I129" s="115"/>
      <c r="J129" s="113"/>
      <c r="K129" s="113"/>
      <c r="L129" s="113"/>
      <c r="M129"/>
    </row>
    <row r="130" spans="5:13" ht="15.6" hidden="1" customHeight="1" x14ac:dyDescent="0.3">
      <c r="E130" s="113"/>
      <c r="F130" s="113"/>
      <c r="G130" s="113"/>
      <c r="H130" s="114"/>
      <c r="I130" s="115"/>
      <c r="J130" s="113"/>
      <c r="K130" s="113"/>
      <c r="L130" s="113"/>
      <c r="M130"/>
    </row>
    <row r="131" spans="5:13" ht="15.6" hidden="1" customHeight="1" x14ac:dyDescent="0.3">
      <c r="E131" s="113"/>
      <c r="F131" s="113"/>
      <c r="G131" s="113"/>
      <c r="H131" s="114"/>
      <c r="I131" s="115"/>
      <c r="J131" s="113"/>
      <c r="K131" s="113"/>
      <c r="L131" s="113"/>
      <c r="M131"/>
    </row>
    <row r="132" spans="5:13" ht="15.6" hidden="1" customHeight="1" x14ac:dyDescent="0.3">
      <c r="E132" s="113"/>
      <c r="F132" s="113"/>
      <c r="G132" s="113"/>
      <c r="H132" s="114"/>
      <c r="I132" s="115"/>
      <c r="J132" s="113"/>
      <c r="K132" s="113"/>
      <c r="L132" s="113"/>
      <c r="M132"/>
    </row>
    <row r="133" spans="5:13" ht="15.6" hidden="1" customHeight="1" x14ac:dyDescent="0.3">
      <c r="E133" s="113"/>
      <c r="F133" s="113"/>
      <c r="G133" s="113"/>
      <c r="H133" s="114"/>
      <c r="I133" s="115"/>
      <c r="J133" s="113"/>
      <c r="K133" s="113"/>
      <c r="L133" s="113"/>
      <c r="M133"/>
    </row>
    <row r="134" spans="5:13" ht="15.6" hidden="1" customHeight="1" x14ac:dyDescent="0.3">
      <c r="E134" s="113"/>
      <c r="F134" s="113"/>
      <c r="G134" s="113"/>
      <c r="H134" s="114"/>
      <c r="I134" s="115"/>
      <c r="J134" s="113"/>
      <c r="K134" s="113"/>
      <c r="L134" s="113"/>
      <c r="M134"/>
    </row>
    <row r="135" spans="5:13" ht="15.6" hidden="1" customHeight="1" x14ac:dyDescent="0.3">
      <c r="E135" s="113"/>
      <c r="F135" s="113"/>
      <c r="G135" s="113"/>
      <c r="H135" s="114"/>
      <c r="I135" s="115"/>
      <c r="J135" s="113"/>
      <c r="K135" s="113"/>
      <c r="L135" s="113"/>
      <c r="M135"/>
    </row>
    <row r="136" spans="5:13" ht="15.6" hidden="1" customHeight="1" x14ac:dyDescent="0.3">
      <c r="E136" s="113"/>
      <c r="F136" s="113"/>
      <c r="G136" s="113"/>
      <c r="H136" s="114"/>
      <c r="I136" s="115"/>
      <c r="J136" s="113"/>
      <c r="K136" s="113"/>
      <c r="L136" s="113"/>
      <c r="M136"/>
    </row>
    <row r="137" spans="5:13" ht="15.6" hidden="1" customHeight="1" x14ac:dyDescent="0.3">
      <c r="E137" s="113"/>
      <c r="F137" s="113"/>
      <c r="G137" s="113"/>
      <c r="H137" s="114"/>
      <c r="I137" s="115"/>
      <c r="J137" s="113"/>
      <c r="K137" s="113"/>
      <c r="L137" s="113"/>
      <c r="M137"/>
    </row>
    <row r="138" spans="5:13" ht="15.6" hidden="1" customHeight="1" x14ac:dyDescent="0.3">
      <c r="E138" s="113"/>
      <c r="F138" s="113"/>
      <c r="G138" s="113"/>
      <c r="H138" s="114"/>
      <c r="I138" s="115"/>
      <c r="J138" s="113"/>
      <c r="K138" s="113"/>
      <c r="L138" s="113"/>
      <c r="M138"/>
    </row>
    <row r="139" spans="5:13" ht="15.6" hidden="1" customHeight="1" x14ac:dyDescent="0.3">
      <c r="E139" s="113"/>
      <c r="F139" s="113"/>
      <c r="G139" s="113"/>
      <c r="H139" s="114"/>
      <c r="I139" s="115"/>
      <c r="J139" s="113"/>
      <c r="K139" s="113"/>
      <c r="L139" s="113"/>
      <c r="M139"/>
    </row>
    <row r="140" spans="5:13" ht="15.6" hidden="1" customHeight="1" x14ac:dyDescent="0.3">
      <c r="E140" s="113"/>
      <c r="F140" s="113"/>
      <c r="G140" s="113"/>
      <c r="H140" s="114"/>
      <c r="I140" s="115"/>
      <c r="J140" s="113"/>
      <c r="K140" s="113"/>
      <c r="L140" s="113"/>
      <c r="M140"/>
    </row>
    <row r="141" spans="5:13" ht="15.6" hidden="1" customHeight="1" x14ac:dyDescent="0.3">
      <c r="E141" s="113"/>
      <c r="F141" s="113"/>
      <c r="G141" s="113"/>
      <c r="H141" s="114"/>
      <c r="I141" s="115"/>
      <c r="J141" s="113"/>
      <c r="K141" s="113"/>
      <c r="L141" s="113"/>
      <c r="M141"/>
    </row>
    <row r="142" spans="5:13" ht="15.6" hidden="1" customHeight="1" x14ac:dyDescent="0.3">
      <c r="E142" s="113"/>
      <c r="F142" s="113"/>
      <c r="G142" s="113"/>
      <c r="H142" s="114"/>
      <c r="I142" s="115"/>
      <c r="J142" s="113"/>
      <c r="K142" s="113"/>
      <c r="L142" s="113"/>
      <c r="M142"/>
    </row>
    <row r="143" spans="5:13" ht="15.6" hidden="1" customHeight="1" x14ac:dyDescent="0.3">
      <c r="E143" s="113"/>
      <c r="F143" s="113"/>
      <c r="G143" s="113"/>
      <c r="H143" s="114"/>
      <c r="I143" s="115"/>
      <c r="J143" s="113"/>
      <c r="K143" s="113"/>
      <c r="L143" s="113"/>
      <c r="M143"/>
    </row>
    <row r="144" spans="5:13" ht="15.6" hidden="1" customHeight="1" x14ac:dyDescent="0.3">
      <c r="E144" s="113"/>
      <c r="F144" s="113"/>
      <c r="G144" s="113"/>
      <c r="H144" s="114"/>
      <c r="I144" s="115"/>
      <c r="J144" s="113"/>
      <c r="K144" s="113"/>
      <c r="L144" s="113"/>
      <c r="M144"/>
    </row>
    <row r="145" spans="5:13" ht="15.6" hidden="1" customHeight="1" x14ac:dyDescent="0.3">
      <c r="E145" s="113"/>
      <c r="F145" s="113"/>
      <c r="G145" s="113"/>
      <c r="H145" s="114"/>
      <c r="I145" s="115"/>
      <c r="J145" s="113"/>
      <c r="K145" s="113"/>
      <c r="L145" s="113"/>
      <c r="M145"/>
    </row>
    <row r="146" spans="5:13" ht="15.6" hidden="1" customHeight="1" x14ac:dyDescent="0.3">
      <c r="E146" s="113"/>
      <c r="F146" s="113"/>
      <c r="G146" s="113"/>
      <c r="H146" s="114"/>
      <c r="I146" s="115"/>
      <c r="J146" s="113"/>
      <c r="K146" s="113"/>
      <c r="L146" s="113"/>
      <c r="M146"/>
    </row>
    <row r="147" spans="5:13" ht="0" hidden="1" customHeight="1" x14ac:dyDescent="0.3">
      <c r="E147" s="113"/>
      <c r="F147" s="113"/>
      <c r="G147" s="113"/>
      <c r="H147" s="114"/>
      <c r="I147" s="115"/>
      <c r="J147" s="113"/>
      <c r="K147" s="113"/>
      <c r="L147" s="113"/>
      <c r="M147"/>
    </row>
    <row r="148" spans="5:13" ht="0" hidden="1" customHeight="1" x14ac:dyDescent="0.3">
      <c r="E148" s="113"/>
      <c r="F148" s="113"/>
      <c r="G148" s="113"/>
      <c r="H148" s="114"/>
      <c r="I148" s="115"/>
      <c r="J148" s="113"/>
      <c r="K148" s="113"/>
      <c r="L148" s="113"/>
      <c r="M148"/>
    </row>
    <row r="149" spans="5:13" ht="0" hidden="1" customHeight="1" x14ac:dyDescent="0.3">
      <c r="E149" s="113"/>
      <c r="F149" s="113"/>
      <c r="G149" s="113"/>
      <c r="H149" s="114"/>
      <c r="I149" s="115"/>
      <c r="J149" s="113"/>
      <c r="K149" s="113"/>
      <c r="L149" s="113"/>
      <c r="M149"/>
    </row>
    <row r="150" spans="5:13" ht="0" hidden="1" customHeight="1" x14ac:dyDescent="0.3">
      <c r="E150" s="113"/>
      <c r="F150" s="113"/>
      <c r="G150" s="113"/>
      <c r="H150" s="114"/>
      <c r="I150" s="115"/>
      <c r="J150" s="113"/>
      <c r="K150" s="113"/>
      <c r="L150" s="113"/>
      <c r="M150"/>
    </row>
    <row r="151" spans="5:13" ht="0" hidden="1" customHeight="1" x14ac:dyDescent="0.3">
      <c r="E151" s="113"/>
      <c r="F151" s="113"/>
      <c r="G151" s="113"/>
      <c r="H151" s="114"/>
      <c r="I151" s="115"/>
      <c r="J151" s="113"/>
      <c r="K151" s="113"/>
      <c r="L151" s="113"/>
      <c r="M151"/>
    </row>
    <row r="152" spans="5:13" ht="0" hidden="1" customHeight="1" x14ac:dyDescent="0.3">
      <c r="E152" s="113"/>
      <c r="F152" s="113"/>
      <c r="G152" s="113"/>
      <c r="H152" s="114"/>
      <c r="I152" s="115"/>
      <c r="J152" s="113"/>
      <c r="K152" s="113"/>
      <c r="L152" s="113"/>
      <c r="M152"/>
    </row>
    <row r="153" spans="5:13" ht="0" hidden="1" customHeight="1" x14ac:dyDescent="0.3">
      <c r="E153" s="113"/>
      <c r="F153" s="113"/>
      <c r="G153" s="113"/>
      <c r="H153" s="114"/>
      <c r="I153" s="115"/>
      <c r="J153" s="113"/>
      <c r="K153" s="113"/>
      <c r="L153" s="113"/>
      <c r="M153"/>
    </row>
    <row r="154" spans="5:13" ht="0" hidden="1" customHeight="1" x14ac:dyDescent="0.3">
      <c r="E154" s="113"/>
      <c r="F154" s="113"/>
      <c r="G154" s="113"/>
      <c r="H154" s="114"/>
      <c r="I154" s="115"/>
      <c r="J154" s="113"/>
      <c r="K154" s="113"/>
      <c r="L154" s="113"/>
      <c r="M154"/>
    </row>
    <row r="155" spans="5:13" ht="0" hidden="1" customHeight="1" x14ac:dyDescent="0.3">
      <c r="E155" s="113"/>
      <c r="F155" s="113"/>
      <c r="G155" s="113"/>
      <c r="H155" s="114"/>
      <c r="I155" s="115"/>
      <c r="J155" s="113"/>
      <c r="K155" s="113"/>
      <c r="L155" s="113"/>
      <c r="M155"/>
    </row>
    <row r="156" spans="5:13" ht="0" hidden="1" customHeight="1" x14ac:dyDescent="0.3">
      <c r="E156" s="113"/>
      <c r="F156" s="113"/>
      <c r="G156" s="113"/>
      <c r="H156" s="114"/>
      <c r="I156" s="115"/>
      <c r="J156" s="113"/>
      <c r="K156" s="113"/>
      <c r="L156" s="113"/>
      <c r="M156"/>
    </row>
    <row r="157" spans="5:13" ht="0" hidden="1" customHeight="1" x14ac:dyDescent="0.3">
      <c r="E157" s="113"/>
      <c r="F157" s="113"/>
      <c r="G157" s="113"/>
      <c r="H157" s="114"/>
      <c r="I157" s="115"/>
      <c r="J157" s="113"/>
      <c r="K157" s="113"/>
      <c r="L157" s="113"/>
      <c r="M157"/>
    </row>
    <row r="158" spans="5:13" ht="0" hidden="1" customHeight="1" x14ac:dyDescent="0.3">
      <c r="E158" s="113"/>
      <c r="F158" s="113"/>
      <c r="G158" s="113"/>
      <c r="H158" s="114"/>
      <c r="I158" s="115"/>
      <c r="J158" s="113"/>
      <c r="K158" s="113"/>
      <c r="L158" s="113"/>
      <c r="M158"/>
    </row>
    <row r="159" spans="5:13" ht="0" hidden="1" customHeight="1" x14ac:dyDescent="0.3">
      <c r="E159" s="113"/>
      <c r="F159" s="113"/>
      <c r="G159" s="113"/>
      <c r="H159" s="114"/>
      <c r="I159" s="115"/>
      <c r="J159" s="113"/>
      <c r="K159" s="113"/>
      <c r="L159" s="113"/>
      <c r="M159"/>
    </row>
    <row r="160" spans="5:13" ht="0" hidden="1" customHeight="1" x14ac:dyDescent="0.3">
      <c r="E160" s="113"/>
      <c r="F160" s="113"/>
      <c r="G160" s="113"/>
      <c r="H160" s="114"/>
      <c r="I160" s="115"/>
      <c r="J160" s="113"/>
      <c r="K160" s="113"/>
      <c r="L160" s="113"/>
      <c r="M160"/>
    </row>
    <row r="161" spans="5:13" ht="0" hidden="1" customHeight="1" x14ac:dyDescent="0.3">
      <c r="E161" s="113"/>
      <c r="F161" s="113"/>
      <c r="G161" s="113"/>
      <c r="H161" s="114"/>
      <c r="I161" s="115"/>
      <c r="J161" s="113"/>
      <c r="K161" s="113"/>
      <c r="L161" s="113"/>
      <c r="M161"/>
    </row>
    <row r="162" spans="5:13" ht="0" hidden="1" customHeight="1" x14ac:dyDescent="0.3">
      <c r="E162" s="113"/>
      <c r="F162" s="113"/>
      <c r="G162" s="113"/>
      <c r="H162" s="114"/>
      <c r="I162" s="115"/>
      <c r="J162" s="113"/>
      <c r="K162" s="113"/>
      <c r="L162" s="113"/>
      <c r="M162"/>
    </row>
    <row r="170" spans="5:13" ht="0" hidden="1" customHeight="1" x14ac:dyDescent="0.3"/>
    <row r="171" spans="5:13" ht="0" hidden="1" customHeight="1" x14ac:dyDescent="0.3"/>
    <row r="172" spans="5:13" ht="0" hidden="1" customHeight="1" x14ac:dyDescent="0.3"/>
    <row r="173" spans="5:13" ht="0" hidden="1" customHeight="1" x14ac:dyDescent="0.3"/>
    <row r="174" spans="5:13" ht="0" hidden="1" customHeight="1" x14ac:dyDescent="0.3"/>
    <row r="175" spans="5:13" ht="0" hidden="1" customHeight="1" x14ac:dyDescent="0.3"/>
    <row r="176" spans="5:13" ht="0" hidden="1" customHeight="1" x14ac:dyDescent="0.3"/>
    <row r="177" ht="0" hidden="1" customHeight="1" x14ac:dyDescent="0.3"/>
    <row r="178" ht="0" hidden="1" customHeight="1" x14ac:dyDescent="0.3"/>
    <row r="179" ht="0" hidden="1" customHeight="1" x14ac:dyDescent="0.3"/>
    <row r="180" ht="0" hidden="1" customHeight="1" x14ac:dyDescent="0.3"/>
    <row r="181" ht="0" hidden="1" customHeight="1" x14ac:dyDescent="0.3"/>
    <row r="182" ht="0" hidden="1" customHeight="1" x14ac:dyDescent="0.3"/>
    <row r="183" ht="0" hidden="1" customHeight="1" x14ac:dyDescent="0.3"/>
    <row r="184" ht="0" hidden="1" customHeight="1" x14ac:dyDescent="0.3"/>
  </sheetData>
  <mergeCells count="16">
    <mergeCell ref="F24:G24"/>
    <mergeCell ref="A1:L4"/>
    <mergeCell ref="F12:G12"/>
    <mergeCell ref="E13:G13"/>
    <mergeCell ref="F18:G18"/>
    <mergeCell ref="E19:G19"/>
    <mergeCell ref="E25:G25"/>
    <mergeCell ref="F32:G32"/>
    <mergeCell ref="E33:G33"/>
    <mergeCell ref="F40:G40"/>
    <mergeCell ref="E41:G41"/>
    <mergeCell ref="F48:G48"/>
    <mergeCell ref="E49:G49"/>
    <mergeCell ref="E50:G50"/>
    <mergeCell ref="F56:G56"/>
    <mergeCell ref="E57:G57"/>
  </mergeCells>
  <conditionalFormatting sqref="K31">
    <cfRule type="expression" dxfId="10" priority="7" stopIfTrue="1">
      <formula>AND(ISNUMBER(K31),K31&lt;&gt;0)</formula>
    </cfRule>
  </conditionalFormatting>
  <conditionalFormatting sqref="K56">
    <cfRule type="expression" dxfId="6" priority="8" stopIfTrue="1">
      <formula>AND(ISNUMBER(K56),K56&lt;&gt;0)</formula>
    </cfRule>
  </conditionalFormatting>
  <conditionalFormatting sqref="K48">
    <cfRule type="expression" dxfId="5" priority="9" stopIfTrue="1">
      <formula>AND(ISNUMBER(K48),K48&lt;&gt;0)</formula>
    </cfRule>
  </conditionalFormatting>
  <conditionalFormatting sqref="K40">
    <cfRule type="expression" dxfId="4" priority="10" stopIfTrue="1">
      <formula>AND(ISNUMBER(K40),K40&lt;&gt;0)</formula>
    </cfRule>
  </conditionalFormatting>
  <conditionalFormatting sqref="K32">
    <cfRule type="expression" dxfId="3" priority="11" stopIfTrue="1">
      <formula>AND(ISNUMBER(K32),K32&lt;&gt;0)</formula>
    </cfRule>
  </conditionalFormatting>
  <conditionalFormatting sqref="K24">
    <cfRule type="expression" dxfId="2" priority="12" stopIfTrue="1">
      <formula>AND(ISNUMBER(K24),K24&lt;&gt;0)</formula>
    </cfRule>
  </conditionalFormatting>
  <conditionalFormatting sqref="K18">
    <cfRule type="expression" dxfId="1" priority="13" stopIfTrue="1">
      <formula>AND(ISNUMBER(K18),K18&lt;&gt;0)</formula>
    </cfRule>
  </conditionalFormatting>
  <conditionalFormatting sqref="K12">
    <cfRule type="expression" dxfId="0" priority="14" stopIfTrue="1">
      <formula>AND(ISNUMBER(K12),K12&lt;&gt;0)</formula>
    </cfRule>
  </conditionalFormatting>
  <dataValidations count="5">
    <dataValidation type="list" allowBlank="1" showInputMessage="1" showErrorMessage="1" sqref="J34" xr:uid="{C74131E1-D094-42FD-9065-CE13B7305A7F}">
      <formula1>"Labour Rate Amnd,Labour Rate,Through Rate Amnd,Through Rate,Material Rate Amnd,Material Rate,Machinery Rate Amnd,Machinery Rate,Labour + Machinery Rate,Labour + Machinery Rate Amnd"</formula1>
    </dataValidation>
    <dataValidation type="list" allowBlank="1" showInputMessage="1" showErrorMessage="1" sqref="J20:J23 J19" xr:uid="{B64DCE6B-CE65-4106-AB1D-7481943CE833}">
      <formula1>"Labour Rate Amnd,Labour Rate,Through Rate Amnd,Through Rate,Material Rate Amnd,Material Rate"</formula1>
    </dataValidation>
    <dataValidation type="list" allowBlank="1" showInputMessage="1" showErrorMessage="1" sqref="J50 J41 J14 J13" xr:uid="{2D7BB8AA-8DF3-4512-82C3-14A9C11388F4}">
      <formula1>"Labour Rate,Through Rate"</formula1>
    </dataValidation>
    <dataValidation type="list" allowBlank="1" showInputMessage="1" showErrorMessage="1" sqref="J57 J25" xr:uid="{DF37EABF-D4E0-4315-BF6A-51CE9357A1C6}">
      <formula1>"Labour Rate,Through Rate,Material Rate"</formula1>
    </dataValidation>
    <dataValidation type="list" allowBlank="1" showInputMessage="1" showErrorMessage="1" sqref="J49 J33" xr:uid="{E32FAD1D-6B92-4205-94C8-A817B726B05C}">
      <formula1>"Labour + Machinery Rate Amnd,Labour + Machinery Rate,Labour Rate Amnd,Labour Rate,Through Rate Amnd,Through Rate,Material Rate Amnd,Material Rate,Machinery Rate Amnd,Machinery Rate"</formula1>
    </dataValidation>
  </dataValidations>
  <pageMargins left="0.48" right="0.23" top="0.75" bottom="0.75" header="0.3" footer="0.3"/>
  <pageSetup paperSize="9" scale="55"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IPB Street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hooda.sunil7@gmail.com</dc:creator>
  <cp:lastModifiedBy>GarG BroThers</cp:lastModifiedBy>
  <dcterms:created xsi:type="dcterms:W3CDTF">2026-01-17T08:23:45Z</dcterms:created>
  <dcterms:modified xsi:type="dcterms:W3CDTF">2026-01-17T20:55:38Z</dcterms:modified>
</cp:coreProperties>
</file>