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AppData\Local\MRGARGSIRTools\MyTemplates\"/>
    </mc:Choice>
  </mc:AlternateContent>
  <xr:revisionPtr revIDLastSave="0" documentId="8_{F43DA971-94CB-44A8-9D93-4499629E8261}" xr6:coauthVersionLast="47" xr6:coauthVersionMax="47" xr10:uidLastSave="{00000000-0000-0000-0000-000000000000}"/>
  <bookViews>
    <workbookView xWindow="-108" yWindow="-108" windowWidth="23256" windowHeight="12456" xr2:uid="{0BAEFF39-ED97-4EF9-A7C7-0FB2A19A00D1}"/>
  </bookViews>
  <sheets>
    <sheet name="IPB Stree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5" i="2" l="1"/>
  <c r="K34" i="2"/>
  <c r="H33" i="2"/>
  <c r="H34" i="2" s="1"/>
  <c r="H35" i="2" s="1"/>
  <c r="K30" i="2"/>
  <c r="K29" i="2"/>
  <c r="H29" i="2"/>
  <c r="H30" i="2" s="1"/>
  <c r="L30" i="2" s="1"/>
  <c r="H28" i="2"/>
  <c r="K25" i="2"/>
  <c r="K24" i="2"/>
  <c r="H24" i="2"/>
  <c r="H25" i="2" s="1"/>
  <c r="H23" i="2"/>
  <c r="K20" i="2"/>
  <c r="K19" i="2"/>
  <c r="H18" i="2"/>
  <c r="H19" i="2" s="1"/>
  <c r="H20" i="2" s="1"/>
  <c r="K15" i="2"/>
  <c r="K14" i="2"/>
  <c r="H14" i="2"/>
  <c r="H15" i="2" s="1"/>
  <c r="H13" i="2"/>
  <c r="K10" i="2"/>
  <c r="H10" i="2"/>
  <c r="L10" i="2" s="1"/>
  <c r="K9" i="2"/>
  <c r="H9" i="2"/>
  <c r="H8" i="2"/>
  <c r="A7" i="2"/>
  <c r="A12" i="2" s="1"/>
  <c r="A17" i="2" s="1"/>
  <c r="H58" i="2" l="1"/>
  <c r="L58" i="2" s="1"/>
  <c r="M58" i="2" s="1"/>
  <c r="L20" i="2"/>
  <c r="H63" i="2"/>
  <c r="L63" i="2" s="1"/>
  <c r="M63" i="2" s="1"/>
  <c r="H56" i="2"/>
  <c r="L56" i="2" s="1"/>
  <c r="L25" i="2"/>
  <c r="H59" i="2"/>
  <c r="L59" i="2" s="1"/>
  <c r="M59" i="2" s="1"/>
  <c r="H64" i="2"/>
  <c r="L64" i="2" s="1"/>
  <c r="M64" i="2" s="1"/>
  <c r="A22" i="2"/>
  <c r="H60" i="2"/>
  <c r="L60" i="2" s="1"/>
  <c r="M60" i="2" s="1"/>
  <c r="L35" i="2"/>
  <c r="H62" i="2"/>
  <c r="L62" i="2" s="1"/>
  <c r="M62" i="2" s="1"/>
  <c r="H61" i="2"/>
  <c r="L61" i="2" s="1"/>
  <c r="M61" i="2" s="1"/>
  <c r="L15" i="2"/>
  <c r="L37" i="2" s="1"/>
  <c r="H57" i="2"/>
  <c r="L57" i="2" s="1"/>
  <c r="M57" i="2" s="1"/>
  <c r="L66" i="2" l="1"/>
  <c r="L38" i="2"/>
  <c r="L39" i="2" s="1"/>
  <c r="A27" i="2"/>
  <c r="A32" i="2" s="1"/>
  <c r="L65" i="2"/>
  <c r="L67" i="2" s="1"/>
  <c r="M56" i="2"/>
  <c r="M65" i="2" s="1"/>
  <c r="M66" i="2" l="1"/>
  <c r="L40" i="2"/>
  <c r="L41" i="2" s="1"/>
  <c r="J43" i="2" s="1"/>
  <c r="M67" i="2"/>
  <c r="L68" i="2" s="1"/>
</calcChain>
</file>

<file path=xl/sharedStrings.xml><?xml version="1.0" encoding="utf-8"?>
<sst xmlns="http://schemas.openxmlformats.org/spreadsheetml/2006/main" count="101" uniqueCount="68">
  <si>
    <t>IPB Street</t>
  </si>
  <si>
    <t>Sr No</t>
  </si>
  <si>
    <t>HSR
Item No</t>
  </si>
  <si>
    <t>Description</t>
  </si>
  <si>
    <t>Nos</t>
  </si>
  <si>
    <t>Length</t>
  </si>
  <si>
    <t>Breadth</t>
  </si>
  <si>
    <t>Depth</t>
  </si>
  <si>
    <t>Quantity</t>
  </si>
  <si>
    <t>Unit</t>
  </si>
  <si>
    <t>Rate Type</t>
  </si>
  <si>
    <t>Rate</t>
  </si>
  <si>
    <t>Amount</t>
  </si>
  <si>
    <t>4.4.1</t>
  </si>
  <si>
    <r>
      <t xml:space="preserve">(4.4) Earth Work and Rock Cutting Surface dressing of the ground including removing vegetation and in-equalities not exceeding 15 cm deep and disposal of rubbish, lead up to 50 m and lift up to 1.5 m.
</t>
    </r>
    <r>
      <rPr>
        <b/>
        <i/>
        <sz val="9"/>
        <color rgb="FF8B0000"/>
        <rFont val="Calibri"/>
        <family val="2"/>
        <scheme val="minor"/>
      </rPr>
      <t>(4.4.1) All kinds of soil</t>
    </r>
  </si>
  <si>
    <t>(B1+B2)/2</t>
  </si>
  <si>
    <t>sft</t>
  </si>
  <si>
    <t>Total (sft)</t>
  </si>
  <si>
    <t>Total (sqm)</t>
  </si>
  <si>
    <t>sqm</t>
  </si>
  <si>
    <t>Through Rate</t>
  </si>
  <si>
    <t>17.23.1</t>
  </si>
  <si>
    <r>
      <t xml:space="preserve">(17.23) Road Works Clearing and Grubbing Road Land . Water Bound Macadam Grading - II
</t>
    </r>
    <r>
      <rPr>
        <b/>
        <i/>
        <sz val="9"/>
        <color rgb="FF8B0000"/>
        <rFont val="Calibri"/>
        <family val="2"/>
        <scheme val="minor"/>
      </rPr>
      <t>(17.23.1) Water Bound Macadam (63mm to 45 mm) Grading I with screening Type 'A' (13.2 mm aggregates) Providing, laying, spreading and compacting stone aggregates of specific sizes to water bound macadam specification including spreading in uniform thickness, hand packing, rolling with 3 wheeled steel/ vibratory roller 8-10 tonnes in stages to proper grade and camber, applying and brooming requisite type of screening/ binding Materials to fill up the interstices of coarse aggregate, watering and compacting to the required density complete as per technical clause 404 of MORT&amp;H specifications</t>
    </r>
  </si>
  <si>
    <t>cft</t>
  </si>
  <si>
    <t>Total (cft)</t>
  </si>
  <si>
    <t>Total (cum)</t>
  </si>
  <si>
    <t>Cum</t>
  </si>
  <si>
    <t>Through Rate Amnd</t>
  </si>
  <si>
    <t>17.69.2</t>
  </si>
  <si>
    <r>
      <t xml:space="preserve">(17.69) Road Works MAINTENANCE OF ROADS Interlocking Concrete Block Pavement
</t>
    </r>
    <r>
      <rPr>
        <b/>
        <i/>
        <sz val="9"/>
        <color rgb="FF8B0000"/>
        <rFont val="Times New Roman"/>
        <family val="1"/>
      </rPr>
      <t>(17.69.2) Providing and Laying 80 mm thick ISI marked Interlocking Paver Blocks conforming to IS 15658:2006/IRC SP 63: 2004 of all shapes and colours in design mix cement M 40 over the bed of 30 mm thick fine sand complete in all respect.</t>
    </r>
  </si>
  <si>
    <t>7.21.2</t>
  </si>
  <si>
    <r>
      <t xml:space="preserve">(7.21) Brick work with common burnt clay non- modular bricks of class designation 10.5 in foundation and plinth in:
</t>
    </r>
    <r>
      <rPr>
        <b/>
        <i/>
        <sz val="9"/>
        <color rgb="FF8B0000"/>
        <rFont val="Times New Roman"/>
        <family val="1"/>
      </rPr>
      <t>(7.21.2) Cement mortar 1:6 (1 cement : 6 coarse sand)</t>
    </r>
  </si>
  <si>
    <t>cum</t>
  </si>
  <si>
    <t>21.53</t>
  </si>
  <si>
    <t>(21.53) Sewerage and Drainage G STONE WARE INTERCEPTING TRAPS, FLAP VALVES, ROAD GULLIES ETC. Constructing standard drain type I drain moulded and laid over lime concrete foundation rendered and finished smooth with 6 mm thick rendering concrete to be of 1.3.6 parts by volume of cement sand stone bajri and rendering to be 1:1 cement sand mortar</t>
  </si>
  <si>
    <t>rft</t>
  </si>
  <si>
    <t>Total (rft)</t>
  </si>
  <si>
    <t>Total (meter)</t>
  </si>
  <si>
    <t>meter</t>
  </si>
  <si>
    <t>10.8</t>
  </si>
  <si>
    <t>(10.8) Flooring and Dados CEMENT CONCRETE FLOORING Providing and laying of conglomerate floor 40mm thick cement concrete topping 1:2:4</t>
  </si>
  <si>
    <t>End</t>
  </si>
  <si>
    <t>Total</t>
  </si>
  <si>
    <t>Add 18% GST</t>
  </si>
  <si>
    <t>Total Amount</t>
  </si>
  <si>
    <t>Add 1% Contigency</t>
  </si>
  <si>
    <t>GRAND TOTAL</t>
  </si>
  <si>
    <t xml:space="preserve"> .</t>
  </si>
  <si>
    <t xml:space="preserve">Say Rs. : </t>
  </si>
  <si>
    <t>Material</t>
  </si>
  <si>
    <t>Gst</t>
  </si>
  <si>
    <t>Amount + Gst</t>
  </si>
  <si>
    <t>Cement (Bags)</t>
  </si>
  <si>
    <t>Bags</t>
  </si>
  <si>
    <t>Tibba Sand (Cft)</t>
  </si>
  <si>
    <t>Cft</t>
  </si>
  <si>
    <t>Jamuna Sand (Cft)</t>
  </si>
  <si>
    <t>Cresher (Cft)</t>
  </si>
  <si>
    <t>Aggregate 10mm (Cft)</t>
  </si>
  <si>
    <t>HSR</t>
  </si>
  <si>
    <t>Stone Metal 40mm (Cft)</t>
  </si>
  <si>
    <t>Stone Aggregate 20mm (Cft)</t>
  </si>
  <si>
    <t>IPB 80mm thick</t>
  </si>
  <si>
    <t>Bricks Non Modular (Nos)</t>
  </si>
  <si>
    <t>Total Amount for Materials</t>
  </si>
  <si>
    <t>Labour</t>
  </si>
  <si>
    <t>Grand Total</t>
  </si>
  <si>
    <t xml:space="preserve">Grand Total (including GST)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</si>
</sst>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19" x14ac:knownFonts="1">
    <font>
      <sz val="11"/>
      <color theme="1"/>
      <name val="Calibri"/>
      <family val="2"/>
      <scheme val="minor"/>
    </font>
    <font>
      <b/>
      <sz val="11"/>
      <color theme="1"/>
      <name val="Calibri"/>
      <family val="2"/>
      <scheme val="minor"/>
    </font>
    <font>
      <b/>
      <sz val="20"/>
      <name val="Times New Roman"/>
      <family val="1"/>
    </font>
    <font>
      <sz val="12"/>
      <name val="Times New Roman"/>
      <family val="1"/>
    </font>
    <font>
      <b/>
      <sz val="14"/>
      <name val="Times New Roman"/>
      <family val="1"/>
    </font>
    <font>
      <b/>
      <sz val="12"/>
      <name val="Times New Roman"/>
      <family val="1"/>
    </font>
    <font>
      <b/>
      <i/>
      <sz val="10"/>
      <color rgb="FF006400"/>
      <name val="Calibri"/>
      <family val="2"/>
      <scheme val="minor"/>
    </font>
    <font>
      <b/>
      <i/>
      <sz val="9"/>
      <color rgb="FF8B0000"/>
      <name val="Calibri"/>
      <family val="2"/>
      <scheme val="minor"/>
    </font>
    <font>
      <sz val="12"/>
      <name val="Calibri"/>
      <family val="2"/>
      <scheme val="minor"/>
    </font>
    <font>
      <b/>
      <i/>
      <sz val="10"/>
      <color rgb="FF006400"/>
      <name val="Times New Roman"/>
      <family val="1"/>
    </font>
    <font>
      <b/>
      <i/>
      <sz val="9"/>
      <color rgb="FF8B0000"/>
      <name val="Times New Roman"/>
      <family val="1"/>
    </font>
    <font>
      <b/>
      <sz val="11"/>
      <color rgb="FF000000"/>
      <name val="Times New Roman"/>
      <family val="1"/>
    </font>
    <font>
      <b/>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
      <b/>
      <sz val="14"/>
      <color rgb="FF000000"/>
      <name val="Times New Roman"/>
      <family val="1"/>
    </font>
    <font>
      <b/>
      <sz val="12"/>
      <color rgb="FF000000"/>
      <name val="Times New Roman"/>
      <family val="1"/>
    </font>
    <font>
      <b/>
      <i/>
      <sz val="12"/>
      <color rgb="FF000000"/>
      <name val="Times New Roman"/>
      <family val="1"/>
    </font>
  </fonts>
  <fills count="17">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theme="0"/>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
      <patternFill patternType="solid">
        <fgColor rgb="FFDCE8BC"/>
        <bgColor indexed="64"/>
      </patternFill>
    </fill>
    <fill>
      <patternFill patternType="solid">
        <fgColor rgb="FFE5CEB4"/>
        <bgColor indexed="64"/>
      </patternFill>
    </fill>
    <fill>
      <patternFill patternType="solid">
        <fgColor rgb="FFCBE5B4"/>
        <bgColor indexed="64"/>
      </patternFill>
    </fill>
    <fill>
      <patternFill patternType="solid">
        <fgColor rgb="FFB4E5CE"/>
        <bgColor indexed="64"/>
      </patternFill>
    </fill>
    <fill>
      <patternFill patternType="solid">
        <fgColor rgb="FFB4CBE5"/>
        <bgColor indexed="64"/>
      </patternFill>
    </fill>
    <fill>
      <patternFill patternType="solid">
        <fgColor rgb="FFCEB4E5"/>
        <bgColor indexed="64"/>
      </patternFill>
    </fill>
    <fill>
      <patternFill patternType="solid">
        <fgColor rgb="FFE5B4CB"/>
        <bgColor indexed="64"/>
      </patternFill>
    </fill>
  </fills>
  <borders count="4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top/>
      <bottom style="thick">
        <color auto="1"/>
      </bottom>
      <diagonal/>
    </border>
    <border>
      <left/>
      <right style="thin">
        <color indexed="64"/>
      </right>
      <top/>
      <bottom style="thick">
        <color indexed="64"/>
      </bottom>
      <diagonal/>
    </border>
    <border>
      <left style="thick">
        <color auto="1"/>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auto="1"/>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medium">
        <color auto="1"/>
      </left>
      <right style="thin">
        <color auto="1"/>
      </right>
      <top style="medium">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medium">
        <color auto="1"/>
      </right>
      <top style="medium">
        <color indexed="64"/>
      </top>
      <bottom style="thin">
        <color indexed="64"/>
      </bottom>
      <diagonal/>
    </border>
    <border diagonalUp="1">
      <left/>
      <right style="medium">
        <color auto="1"/>
      </right>
      <top/>
      <bottom/>
      <diagonal style="mediumDashDot">
        <color rgb="FF000000"/>
      </diagonal>
    </border>
    <border>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mediumDashDot">
        <color rgb="FF000000"/>
      </left>
      <right style="medium">
        <color auto="1"/>
      </right>
      <top/>
      <bottom/>
      <diagonal/>
    </border>
    <border diagonalDown="1">
      <left/>
      <right style="medium">
        <color auto="1"/>
      </right>
      <top/>
      <bottom/>
      <diagonal style="mediumDashDot">
        <color rgb="FF000000"/>
      </diagonal>
    </border>
    <border>
      <left style="medium">
        <color auto="1"/>
      </left>
      <right/>
      <top/>
      <bottom style="thin">
        <color indexed="64"/>
      </bottom>
      <diagonal/>
    </border>
    <border>
      <left style="thin">
        <color indexed="64"/>
      </left>
      <right style="thin">
        <color auto="1"/>
      </right>
      <top/>
      <bottom style="thin">
        <color indexed="64"/>
      </bottom>
      <diagonal/>
    </border>
    <border>
      <left/>
      <right style="medium">
        <color auto="1"/>
      </right>
      <top/>
      <bottom style="thin">
        <color indexed="64"/>
      </bottom>
      <diagonal/>
    </border>
    <border>
      <left style="medium">
        <color auto="1"/>
      </left>
      <right/>
      <top style="thin">
        <color indexed="64"/>
      </top>
      <bottom style="thin">
        <color indexed="64"/>
      </bottom>
      <diagonal/>
    </border>
    <border>
      <left/>
      <right style="medium">
        <color auto="1"/>
      </right>
      <top style="thin">
        <color indexed="64"/>
      </top>
      <bottom style="thin">
        <color indexed="64"/>
      </bottom>
      <diagonal/>
    </border>
    <border>
      <left style="medium">
        <color auto="1"/>
      </left>
      <right/>
      <top style="thin">
        <color indexed="64"/>
      </top>
      <bottom style="medium">
        <color indexed="64"/>
      </bottom>
      <diagonal/>
    </border>
    <border>
      <left/>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right style="medium">
        <color auto="1"/>
      </right>
      <top style="thin">
        <color indexed="64"/>
      </top>
      <bottom style="medium">
        <color indexed="64"/>
      </bottom>
      <diagonal/>
    </border>
  </borders>
  <cellStyleXfs count="1">
    <xf numFmtId="0" fontId="0" fillId="0" borderId="0"/>
  </cellStyleXfs>
  <cellXfs count="240">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4" fillId="0" borderId="9" xfId="0" applyFont="1" applyBorder="1" applyAlignment="1">
      <alignment horizontal="center" vertical="center" wrapText="1"/>
    </xf>
    <xf numFmtId="49" fontId="5" fillId="0" borderId="10" xfId="0" applyNumberFormat="1" applyFont="1" applyBorder="1" applyAlignment="1">
      <alignment horizontal="center" vertical="center" wrapText="1"/>
    </xf>
    <xf numFmtId="0" fontId="4" fillId="0" borderId="10" xfId="0" applyFont="1" applyBorder="1" applyAlignment="1">
      <alignment horizontal="center" vertical="center" wrapText="1"/>
    </xf>
    <xf numFmtId="2" fontId="4" fillId="0" borderId="10" xfId="0" applyNumberFormat="1" applyFont="1" applyBorder="1" applyAlignment="1">
      <alignment horizontal="center" vertical="center" wrapText="1"/>
    </xf>
    <xf numFmtId="1" fontId="4" fillId="0" borderId="11" xfId="0" applyNumberFormat="1" applyFont="1" applyBorder="1" applyAlignment="1">
      <alignment horizontal="center" vertical="center" wrapText="1"/>
    </xf>
    <xf numFmtId="0" fontId="4" fillId="0" borderId="12" xfId="0" applyFont="1" applyBorder="1" applyAlignment="1">
      <alignment horizontal="center" vertical="center" wrapText="1"/>
    </xf>
    <xf numFmtId="49" fontId="5"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2" fontId="4" fillId="2" borderId="13" xfId="0" applyNumberFormat="1" applyFont="1" applyFill="1" applyBorder="1" applyAlignment="1">
      <alignment horizontal="right" vertical="center" wrapText="1"/>
    </xf>
    <xf numFmtId="0" fontId="4" fillId="0" borderId="13" xfId="0" applyFont="1" applyBorder="1" applyAlignment="1">
      <alignment horizontal="left" vertical="center" wrapText="1"/>
    </xf>
    <xf numFmtId="0" fontId="4" fillId="3" borderId="13" xfId="0" applyFont="1" applyFill="1" applyBorder="1" applyAlignment="1">
      <alignment horizontal="center" vertical="center" wrapText="1"/>
    </xf>
    <xf numFmtId="0" fontId="4" fillId="4" borderId="13" xfId="0" applyFont="1" applyFill="1" applyBorder="1" applyAlignment="1">
      <alignment horizontal="right" vertical="center" wrapText="1"/>
    </xf>
    <xf numFmtId="1" fontId="4" fillId="0" borderId="14" xfId="0" applyNumberFormat="1" applyFont="1" applyBorder="1" applyAlignment="1">
      <alignment horizontal="center" vertical="center" wrapText="1"/>
    </xf>
    <xf numFmtId="1" fontId="5" fillId="0" borderId="15" xfId="0" applyNumberFormat="1" applyFont="1" applyBorder="1" applyAlignment="1">
      <alignment horizontal="center" vertical="center" wrapText="1"/>
    </xf>
    <xf numFmtId="49" fontId="5" fillId="0" borderId="16" xfId="0" applyNumberFormat="1" applyFont="1" applyBorder="1" applyAlignment="1">
      <alignment horizontal="center" vertical="center" wrapText="1"/>
    </xf>
    <xf numFmtId="0" fontId="6" fillId="0" borderId="16" xfId="0" applyFont="1" applyBorder="1" applyAlignment="1">
      <alignment vertical="center" wrapText="1"/>
    </xf>
    <xf numFmtId="0" fontId="3" fillId="0" borderId="16" xfId="0" applyFont="1" applyBorder="1" applyAlignment="1">
      <alignment horizontal="center" vertical="center" wrapText="1"/>
    </xf>
    <xf numFmtId="2" fontId="3" fillId="2" borderId="16" xfId="0" applyNumberFormat="1" applyFont="1" applyFill="1" applyBorder="1" applyAlignment="1">
      <alignment horizontal="right" vertical="center" wrapText="1"/>
    </xf>
    <xf numFmtId="0" fontId="5" fillId="0" borderId="16" xfId="0" applyFont="1" applyBorder="1" applyAlignment="1">
      <alignment horizontal="left" vertical="center" wrapText="1"/>
    </xf>
    <xf numFmtId="0" fontId="3" fillId="3" borderId="16" xfId="0" applyFont="1" applyFill="1" applyBorder="1" applyAlignment="1">
      <alignment horizontal="center" vertical="center" wrapText="1"/>
    </xf>
    <xf numFmtId="0" fontId="5" fillId="4" borderId="16" xfId="0" applyFont="1" applyFill="1" applyBorder="1" applyAlignment="1">
      <alignment horizontal="right" vertical="center" wrapText="1"/>
    </xf>
    <xf numFmtId="1" fontId="5" fillId="0" borderId="17" xfId="0" applyNumberFormat="1" applyFont="1" applyBorder="1" applyAlignment="1">
      <alignment horizontal="center" vertical="center" wrapText="1"/>
    </xf>
    <xf numFmtId="1" fontId="5" fillId="5" borderId="15" xfId="0" applyNumberFormat="1" applyFont="1" applyFill="1" applyBorder="1" applyAlignment="1">
      <alignment horizontal="center" vertical="center" wrapText="1"/>
    </xf>
    <xf numFmtId="0" fontId="5" fillId="5" borderId="16" xfId="0" applyFont="1" applyFill="1" applyBorder="1" applyAlignment="1">
      <alignment horizontal="center" vertical="center" wrapText="1"/>
    </xf>
    <xf numFmtId="0" fontId="3" fillId="5" borderId="16" xfId="0" applyFont="1" applyFill="1" applyBorder="1" applyAlignment="1">
      <alignment horizontal="center" vertical="center" wrapText="1"/>
    </xf>
    <xf numFmtId="164" fontId="3" fillId="2" borderId="16" xfId="0" applyNumberFormat="1" applyFont="1" applyFill="1" applyBorder="1" applyAlignment="1">
      <alignment horizontal="right" vertical="center" wrapText="1"/>
    </xf>
    <xf numFmtId="0" fontId="5" fillId="5" borderId="16" xfId="0" applyFont="1" applyFill="1" applyBorder="1" applyAlignment="1">
      <alignment horizontal="left" vertical="center" wrapText="1"/>
    </xf>
    <xf numFmtId="1" fontId="5" fillId="6" borderId="15" xfId="0" applyNumberFormat="1"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6" xfId="0" applyFont="1" applyFill="1" applyBorder="1" applyAlignment="1">
      <alignment vertical="center" wrapText="1"/>
    </xf>
    <xf numFmtId="0" fontId="5" fillId="6" borderId="16" xfId="0" applyFont="1" applyFill="1" applyBorder="1" applyAlignment="1">
      <alignment horizontal="center" vertical="center" wrapText="1"/>
    </xf>
    <xf numFmtId="2" fontId="5" fillId="2" borderId="16" xfId="0" applyNumberFormat="1" applyFont="1" applyFill="1" applyBorder="1" applyAlignment="1">
      <alignment horizontal="right" vertical="center" wrapText="1"/>
    </xf>
    <xf numFmtId="0" fontId="5" fillId="6" borderId="16" xfId="0" applyFont="1" applyFill="1" applyBorder="1" applyAlignment="1">
      <alignment horizontal="left" vertical="center" wrapText="1"/>
    </xf>
    <xf numFmtId="0" fontId="5" fillId="3" borderId="16" xfId="0" applyFont="1" applyFill="1" applyBorder="1" applyAlignment="1">
      <alignment horizontal="center" vertical="center" wrapText="1"/>
    </xf>
    <xf numFmtId="165" fontId="5" fillId="4" borderId="16" xfId="0" applyNumberFormat="1" applyFont="1" applyFill="1" applyBorder="1" applyAlignment="1">
      <alignment horizontal="right" vertical="center" wrapText="1"/>
    </xf>
    <xf numFmtId="1" fontId="5" fillId="6" borderId="17" xfId="0" applyNumberFormat="1" applyFont="1" applyFill="1" applyBorder="1" applyAlignment="1">
      <alignment horizontal="center" vertical="center" wrapText="1"/>
    </xf>
    <xf numFmtId="1" fontId="5" fillId="7" borderId="15" xfId="0" applyNumberFormat="1" applyFont="1" applyFill="1" applyBorder="1" applyAlignment="1">
      <alignment horizontal="center" vertical="center" wrapText="1"/>
    </xf>
    <xf numFmtId="0" fontId="5" fillId="7" borderId="16" xfId="0" applyFont="1" applyFill="1" applyBorder="1" applyAlignment="1">
      <alignment horizontal="center" vertical="center" wrapText="1"/>
    </xf>
    <xf numFmtId="0" fontId="5" fillId="7" borderId="16" xfId="0" applyFont="1" applyFill="1" applyBorder="1" applyAlignment="1">
      <alignment vertical="center" wrapText="1"/>
    </xf>
    <xf numFmtId="0" fontId="5" fillId="7" borderId="16" xfId="0" applyFont="1" applyFill="1" applyBorder="1" applyAlignment="1">
      <alignment horizontal="center" vertical="center" wrapText="1"/>
    </xf>
    <xf numFmtId="164" fontId="5" fillId="2" borderId="16" xfId="0" applyNumberFormat="1" applyFont="1" applyFill="1" applyBorder="1" applyAlignment="1">
      <alignment horizontal="right" vertical="center" wrapText="1"/>
    </xf>
    <xf numFmtId="0" fontId="5" fillId="7" borderId="16" xfId="0" applyFont="1" applyFill="1" applyBorder="1" applyAlignment="1">
      <alignment horizontal="left" vertical="center" wrapText="1"/>
    </xf>
    <xf numFmtId="166" fontId="5" fillId="7" borderId="17" xfId="0" applyNumberFormat="1" applyFont="1" applyFill="1" applyBorder="1" applyAlignment="1">
      <alignment horizontal="center" vertical="center" wrapText="1"/>
    </xf>
    <xf numFmtId="1" fontId="5" fillId="8" borderId="12" xfId="0" applyNumberFormat="1" applyFont="1" applyFill="1" applyBorder="1" applyAlignment="1">
      <alignment horizontal="center" vertical="center" wrapText="1"/>
    </xf>
    <xf numFmtId="0" fontId="5" fillId="8" borderId="13" xfId="0" applyFont="1" applyFill="1" applyBorder="1" applyAlignment="1">
      <alignment horizontal="center" vertical="center" wrapText="1"/>
    </xf>
    <xf numFmtId="0" fontId="3" fillId="8" borderId="13" xfId="0" applyFont="1" applyFill="1" applyBorder="1" applyAlignment="1">
      <alignment vertical="center" wrapText="1"/>
    </xf>
    <xf numFmtId="0" fontId="3" fillId="8" borderId="13" xfId="0" applyFont="1" applyFill="1" applyBorder="1" applyAlignment="1">
      <alignment horizontal="center" vertical="center" wrapText="1"/>
    </xf>
    <xf numFmtId="2" fontId="3" fillId="2" borderId="13" xfId="0" applyNumberFormat="1" applyFont="1" applyFill="1" applyBorder="1" applyAlignment="1">
      <alignment horizontal="right" vertical="center" wrapText="1"/>
    </xf>
    <xf numFmtId="0" fontId="5" fillId="8" borderId="13" xfId="0" applyFont="1" applyFill="1" applyBorder="1" applyAlignment="1">
      <alignment horizontal="left" vertical="center" wrapText="1"/>
    </xf>
    <xf numFmtId="0" fontId="3" fillId="3" borderId="13" xfId="0" applyFont="1" applyFill="1" applyBorder="1" applyAlignment="1">
      <alignment horizontal="center" vertical="center" wrapText="1"/>
    </xf>
    <xf numFmtId="0" fontId="5" fillId="4" borderId="13" xfId="0" applyFont="1" applyFill="1" applyBorder="1" applyAlignment="1">
      <alignment horizontal="right" vertical="center" wrapText="1"/>
    </xf>
    <xf numFmtId="1" fontId="5" fillId="8" borderId="14" xfId="0" applyNumberFormat="1" applyFont="1" applyFill="1" applyBorder="1" applyAlignment="1">
      <alignment horizontal="center" vertical="center" wrapText="1"/>
    </xf>
    <xf numFmtId="49" fontId="5" fillId="0" borderId="16" xfId="0" applyNumberFormat="1" applyFont="1" applyBorder="1" applyAlignment="1">
      <alignment horizontal="center" vertical="center"/>
    </xf>
    <xf numFmtId="0" fontId="3" fillId="0" borderId="18" xfId="0" applyFont="1" applyBorder="1" applyAlignment="1">
      <alignment horizontal="center" vertical="center"/>
    </xf>
    <xf numFmtId="0" fontId="3" fillId="0" borderId="13" xfId="0" applyFont="1" applyBorder="1" applyAlignment="1">
      <alignment horizontal="center" vertical="center"/>
    </xf>
    <xf numFmtId="2" fontId="3" fillId="2" borderId="13" xfId="0" applyNumberFormat="1" applyFont="1" applyFill="1" applyBorder="1" applyAlignment="1">
      <alignment horizontal="right" vertical="center"/>
    </xf>
    <xf numFmtId="0" fontId="5" fillId="0" borderId="13" xfId="0" applyFont="1" applyBorder="1" applyAlignment="1">
      <alignment horizontal="left" vertical="center"/>
    </xf>
    <xf numFmtId="0" fontId="5" fillId="4" borderId="13" xfId="0" applyFont="1" applyFill="1" applyBorder="1" applyAlignment="1">
      <alignment horizontal="right" vertical="center"/>
    </xf>
    <xf numFmtId="1" fontId="5" fillId="0" borderId="14" xfId="0" applyNumberFormat="1" applyFont="1" applyBorder="1" applyAlignment="1">
      <alignment horizontal="center" vertical="center"/>
    </xf>
    <xf numFmtId="0" fontId="5" fillId="0" borderId="16" xfId="0" applyFont="1" applyBorder="1" applyAlignment="1">
      <alignment horizontal="center" vertical="center"/>
    </xf>
    <xf numFmtId="0" fontId="8" fillId="0" borderId="16" xfId="0" applyFont="1" applyBorder="1" applyAlignment="1">
      <alignment vertical="center" wrapText="1"/>
    </xf>
    <xf numFmtId="0" fontId="3" fillId="0" borderId="16" xfId="0" applyFont="1" applyBorder="1" applyAlignment="1">
      <alignment horizontal="center" vertical="center"/>
    </xf>
    <xf numFmtId="2" fontId="3" fillId="0" borderId="16" xfId="0" applyNumberFormat="1" applyFont="1" applyBorder="1" applyAlignment="1">
      <alignment horizontal="center" vertical="center"/>
    </xf>
    <xf numFmtId="164" fontId="3" fillId="2" borderId="16" xfId="0" applyNumberFormat="1" applyFont="1" applyFill="1" applyBorder="1" applyAlignment="1">
      <alignment horizontal="right" vertical="center"/>
    </xf>
    <xf numFmtId="0" fontId="5" fillId="0" borderId="16" xfId="0" applyFont="1" applyBorder="1" applyAlignment="1">
      <alignment horizontal="left" vertical="center"/>
    </xf>
    <xf numFmtId="0" fontId="5" fillId="4" borderId="16" xfId="0" applyFont="1" applyFill="1" applyBorder="1" applyAlignment="1">
      <alignment horizontal="right" vertical="center"/>
    </xf>
    <xf numFmtId="1" fontId="5" fillId="0" borderId="17" xfId="0" applyNumberFormat="1" applyFont="1" applyBorder="1" applyAlignment="1">
      <alignment horizontal="center" vertical="center"/>
    </xf>
    <xf numFmtId="0" fontId="5" fillId="6" borderId="16" xfId="0" applyFont="1" applyFill="1" applyBorder="1" applyAlignment="1">
      <alignment horizontal="center" vertical="center"/>
    </xf>
    <xf numFmtId="0" fontId="5" fillId="6" borderId="16" xfId="0" applyFont="1" applyFill="1" applyBorder="1" applyAlignment="1">
      <alignment horizontal="center" vertical="center"/>
    </xf>
    <xf numFmtId="2" fontId="5" fillId="2" borderId="16" xfId="0" applyNumberFormat="1" applyFont="1" applyFill="1" applyBorder="1" applyAlignment="1">
      <alignment horizontal="right" vertical="center"/>
    </xf>
    <xf numFmtId="0" fontId="5" fillId="6" borderId="16" xfId="0" applyFont="1" applyFill="1" applyBorder="1" applyAlignment="1">
      <alignment horizontal="left" vertical="center"/>
    </xf>
    <xf numFmtId="165" fontId="5" fillId="4" borderId="16" xfId="0" applyNumberFormat="1" applyFont="1" applyFill="1" applyBorder="1" applyAlignment="1">
      <alignment horizontal="right" vertical="center"/>
    </xf>
    <xf numFmtId="1" fontId="5" fillId="6" borderId="17" xfId="0" applyNumberFormat="1" applyFont="1" applyFill="1" applyBorder="1" applyAlignment="1">
      <alignment horizontal="center" vertical="center"/>
    </xf>
    <xf numFmtId="0" fontId="5" fillId="7" borderId="16" xfId="0" applyFont="1" applyFill="1" applyBorder="1" applyAlignment="1">
      <alignment horizontal="center" vertical="center"/>
    </xf>
    <xf numFmtId="0" fontId="5" fillId="7" borderId="16" xfId="0" applyFont="1" applyFill="1" applyBorder="1" applyAlignment="1">
      <alignment horizontal="center" vertical="center"/>
    </xf>
    <xf numFmtId="164" fontId="5" fillId="2" borderId="16" xfId="0" applyNumberFormat="1" applyFont="1" applyFill="1" applyBorder="1" applyAlignment="1">
      <alignment horizontal="right" vertical="center"/>
    </xf>
    <xf numFmtId="166" fontId="5" fillId="7" borderId="17" xfId="0" applyNumberFormat="1" applyFont="1" applyFill="1" applyBorder="1" applyAlignment="1">
      <alignment horizontal="center" vertical="center"/>
    </xf>
    <xf numFmtId="0" fontId="5" fillId="8" borderId="13" xfId="0" applyFont="1" applyFill="1" applyBorder="1" applyAlignment="1">
      <alignment horizontal="center" vertical="center"/>
    </xf>
    <xf numFmtId="0" fontId="3" fillId="8" borderId="13" xfId="0" applyFont="1" applyFill="1" applyBorder="1" applyAlignment="1">
      <alignment horizontal="left" vertical="center" wrapText="1"/>
    </xf>
    <xf numFmtId="0" fontId="3" fillId="8" borderId="13" xfId="0" applyFont="1" applyFill="1" applyBorder="1" applyAlignment="1">
      <alignment horizontal="center" vertical="center"/>
    </xf>
    <xf numFmtId="0" fontId="5" fillId="8" borderId="13" xfId="0" applyFont="1" applyFill="1" applyBorder="1" applyAlignment="1">
      <alignment horizontal="left" vertical="center"/>
    </xf>
    <xf numFmtId="1" fontId="5" fillId="8" borderId="14" xfId="0" applyNumberFormat="1" applyFont="1" applyFill="1" applyBorder="1" applyAlignment="1">
      <alignment horizontal="center" vertical="center"/>
    </xf>
    <xf numFmtId="1" fontId="5" fillId="0" borderId="15" xfId="0" applyNumberFormat="1" applyFont="1" applyBorder="1" applyAlignment="1">
      <alignment horizontal="center" vertical="center"/>
    </xf>
    <xf numFmtId="0" fontId="9" fillId="0" borderId="16" xfId="0" applyFont="1" applyBorder="1" applyAlignment="1">
      <alignment horizontal="left" vertical="center" wrapText="1"/>
    </xf>
    <xf numFmtId="2" fontId="3" fillId="2" borderId="16" xfId="0" applyNumberFormat="1" applyFont="1" applyFill="1" applyBorder="1" applyAlignment="1">
      <alignment horizontal="right" vertical="center"/>
    </xf>
    <xf numFmtId="1" fontId="5" fillId="6" borderId="15" xfId="0" applyNumberFormat="1" applyFont="1" applyFill="1" applyBorder="1" applyAlignment="1">
      <alignment horizontal="center" vertical="center"/>
    </xf>
    <xf numFmtId="1" fontId="5" fillId="7" borderId="15" xfId="0" applyNumberFormat="1" applyFont="1" applyFill="1" applyBorder="1" applyAlignment="1">
      <alignment horizontal="center" vertical="center"/>
    </xf>
    <xf numFmtId="0" fontId="3" fillId="0" borderId="0" xfId="0" applyFont="1" applyAlignment="1">
      <alignment vertical="center"/>
    </xf>
    <xf numFmtId="1" fontId="5" fillId="8" borderId="12" xfId="0" applyNumberFormat="1" applyFont="1" applyFill="1" applyBorder="1" applyAlignment="1">
      <alignment horizontal="center" vertical="center"/>
    </xf>
    <xf numFmtId="0" fontId="5" fillId="8" borderId="13" xfId="0" applyFont="1" applyFill="1" applyBorder="1" applyAlignment="1">
      <alignment vertical="center" wrapText="1"/>
    </xf>
    <xf numFmtId="164" fontId="5" fillId="2" borderId="13" xfId="0" applyNumberFormat="1" applyFont="1" applyFill="1" applyBorder="1" applyAlignment="1">
      <alignment horizontal="right" vertical="center"/>
    </xf>
    <xf numFmtId="0" fontId="5" fillId="3" borderId="13" xfId="0" applyFont="1" applyFill="1" applyBorder="1" applyAlignment="1">
      <alignment horizontal="center" vertical="center" wrapText="1"/>
    </xf>
    <xf numFmtId="166" fontId="5" fillId="8" borderId="14" xfId="0" applyNumberFormat="1" applyFont="1" applyFill="1" applyBorder="1" applyAlignment="1">
      <alignment horizontal="center" vertical="center"/>
    </xf>
    <xf numFmtId="0" fontId="9" fillId="0" borderId="16" xfId="0" applyFont="1" applyBorder="1" applyAlignment="1">
      <alignment vertical="center" wrapText="1"/>
    </xf>
    <xf numFmtId="0" fontId="3" fillId="4" borderId="13" xfId="0" applyFont="1" applyFill="1" applyBorder="1" applyAlignment="1">
      <alignment horizontal="right" vertical="center"/>
    </xf>
    <xf numFmtId="0" fontId="3" fillId="0" borderId="16" xfId="0" applyFont="1" applyBorder="1" applyAlignment="1">
      <alignment vertical="center" wrapText="1"/>
    </xf>
    <xf numFmtId="164" fontId="0" fillId="2" borderId="16" xfId="0" applyNumberFormat="1" applyFill="1" applyBorder="1" applyAlignment="1">
      <alignment horizontal="right" vertical="center"/>
    </xf>
    <xf numFmtId="0" fontId="1" fillId="0" borderId="16" xfId="0" applyFont="1" applyBorder="1" applyAlignment="1">
      <alignment horizontal="left" vertical="center"/>
    </xf>
    <xf numFmtId="0" fontId="11" fillId="3" borderId="16" xfId="0" applyFont="1" applyFill="1" applyBorder="1" applyAlignment="1">
      <alignment horizontal="center" vertical="center" wrapText="1"/>
    </xf>
    <xf numFmtId="0" fontId="12" fillId="4" borderId="16" xfId="0" applyFont="1" applyFill="1" applyBorder="1" applyAlignment="1">
      <alignment horizontal="right" vertical="center"/>
    </xf>
    <xf numFmtId="166" fontId="12" fillId="9" borderId="17" xfId="0" applyNumberFormat="1" applyFont="1" applyFill="1" applyBorder="1" applyAlignment="1">
      <alignment horizontal="center" vertical="center"/>
    </xf>
    <xf numFmtId="164" fontId="1" fillId="2" borderId="16" xfId="0" applyNumberFormat="1" applyFont="1" applyFill="1" applyBorder="1" applyAlignment="1">
      <alignment horizontal="right" vertical="center"/>
    </xf>
    <xf numFmtId="0" fontId="1" fillId="6" borderId="16" xfId="0" applyFont="1" applyFill="1" applyBorder="1" applyAlignment="1">
      <alignment horizontal="left" vertical="center"/>
    </xf>
    <xf numFmtId="165" fontId="12" fillId="4" borderId="16" xfId="0" applyNumberFormat="1" applyFont="1" applyFill="1" applyBorder="1" applyAlignment="1">
      <alignment horizontal="right" vertical="center"/>
    </xf>
    <xf numFmtId="166" fontId="12" fillId="6" borderId="17" xfId="0" applyNumberFormat="1" applyFont="1" applyFill="1" applyBorder="1" applyAlignment="1">
      <alignment horizontal="center" vertical="center"/>
    </xf>
    <xf numFmtId="0" fontId="1" fillId="7" borderId="16" xfId="0" applyFont="1" applyFill="1" applyBorder="1" applyAlignment="1">
      <alignment horizontal="left" vertical="center" wrapText="1"/>
    </xf>
    <xf numFmtId="166" fontId="12" fillId="7" borderId="17" xfId="0" applyNumberFormat="1" applyFont="1" applyFill="1" applyBorder="1" applyAlignment="1">
      <alignment horizontal="center" vertical="center"/>
    </xf>
    <xf numFmtId="0" fontId="0" fillId="2" borderId="13" xfId="0" applyFill="1" applyBorder="1" applyAlignment="1">
      <alignment horizontal="right" vertical="center"/>
    </xf>
    <xf numFmtId="0" fontId="1" fillId="8" borderId="13" xfId="0" applyFont="1" applyFill="1" applyBorder="1" applyAlignment="1">
      <alignment horizontal="left" vertical="center"/>
    </xf>
    <xf numFmtId="0" fontId="11" fillId="3" borderId="13" xfId="0" applyFont="1" applyFill="1" applyBorder="1" applyAlignment="1">
      <alignment horizontal="center" vertical="center" wrapText="1"/>
    </xf>
    <xf numFmtId="0" fontId="12" fillId="4" borderId="13" xfId="0" applyFont="1" applyFill="1" applyBorder="1" applyAlignment="1">
      <alignment horizontal="right" vertical="center"/>
    </xf>
    <xf numFmtId="166" fontId="12" fillId="8" borderId="14" xfId="0" applyNumberFormat="1" applyFont="1" applyFill="1" applyBorder="1" applyAlignment="1">
      <alignment horizontal="center" vertical="center"/>
    </xf>
    <xf numFmtId="0" fontId="1" fillId="0" borderId="13" xfId="0" applyFont="1" applyBorder="1" applyAlignment="1">
      <alignment horizontal="left" vertical="center"/>
    </xf>
    <xf numFmtId="166" fontId="12" fillId="0" borderId="14" xfId="0" applyNumberFormat="1" applyFont="1" applyBorder="1" applyAlignment="1">
      <alignment horizontal="center" vertical="center"/>
    </xf>
    <xf numFmtId="1" fontId="5" fillId="8" borderId="15" xfId="0" applyNumberFormat="1" applyFont="1" applyFill="1" applyBorder="1" applyAlignment="1">
      <alignment horizontal="center" vertical="center"/>
    </xf>
    <xf numFmtId="0" fontId="5" fillId="8" borderId="16" xfId="0" applyFont="1" applyFill="1" applyBorder="1" applyAlignment="1">
      <alignment horizontal="center" vertical="center"/>
    </xf>
    <xf numFmtId="0" fontId="3" fillId="8" borderId="16" xfId="0" applyFont="1" applyFill="1" applyBorder="1" applyAlignment="1">
      <alignment vertical="center" wrapText="1"/>
    </xf>
    <xf numFmtId="0" fontId="3" fillId="8" borderId="16" xfId="0" applyFont="1" applyFill="1" applyBorder="1" applyAlignment="1">
      <alignment horizontal="center" vertical="center"/>
    </xf>
    <xf numFmtId="0" fontId="1" fillId="8" borderId="16" xfId="0" applyFont="1" applyFill="1" applyBorder="1" applyAlignment="1">
      <alignment horizontal="left" vertical="center"/>
    </xf>
    <xf numFmtId="166" fontId="12" fillId="8" borderId="17" xfId="0" applyNumberFormat="1" applyFont="1" applyFill="1" applyBorder="1" applyAlignment="1">
      <alignment horizontal="center" vertical="center"/>
    </xf>
    <xf numFmtId="0" fontId="1" fillId="2" borderId="16" xfId="0" applyFont="1" applyFill="1" applyBorder="1" applyAlignment="1">
      <alignment horizontal="right" vertical="center"/>
    </xf>
    <xf numFmtId="0" fontId="13" fillId="3" borderId="16" xfId="0" applyFont="1" applyFill="1" applyBorder="1" applyAlignment="1">
      <alignment horizontal="center" vertical="center" wrapText="1"/>
    </xf>
    <xf numFmtId="165" fontId="1" fillId="4" borderId="16" xfId="0" applyNumberFormat="1" applyFont="1" applyFill="1" applyBorder="1" applyAlignment="1">
      <alignment horizontal="right" vertical="center"/>
    </xf>
    <xf numFmtId="0" fontId="1" fillId="6" borderId="17" xfId="0" applyFont="1" applyFill="1" applyBorder="1" applyAlignment="1">
      <alignment horizontal="center" vertical="center"/>
    </xf>
    <xf numFmtId="0" fontId="5" fillId="7" borderId="15" xfId="0" applyFont="1" applyFill="1" applyBorder="1" applyAlignment="1">
      <alignment horizontal="center" vertical="center"/>
    </xf>
    <xf numFmtId="0" fontId="14" fillId="7" borderId="16" xfId="0" applyFont="1" applyFill="1" applyBorder="1" applyAlignment="1">
      <alignment horizontal="left" vertical="center" wrapText="1"/>
    </xf>
    <xf numFmtId="0" fontId="14" fillId="3" borderId="16" xfId="0" applyFont="1" applyFill="1" applyBorder="1" applyAlignment="1">
      <alignment horizontal="center" vertical="center" wrapText="1"/>
    </xf>
    <xf numFmtId="0" fontId="13" fillId="4" borderId="16" xfId="0" applyFont="1" applyFill="1" applyBorder="1" applyAlignment="1">
      <alignment horizontal="right" vertical="center"/>
    </xf>
    <xf numFmtId="166" fontId="13" fillId="7" borderId="17" xfId="0" applyNumberFormat="1" applyFont="1" applyFill="1" applyBorder="1" applyAlignment="1">
      <alignment horizontal="center" vertical="center"/>
    </xf>
    <xf numFmtId="0" fontId="5" fillId="8" borderId="19" xfId="0" applyFont="1" applyFill="1" applyBorder="1" applyAlignment="1">
      <alignment horizontal="center" vertical="center"/>
    </xf>
    <xf numFmtId="0" fontId="5" fillId="8" borderId="7" xfId="0" applyFont="1" applyFill="1" applyBorder="1" applyAlignment="1">
      <alignment horizontal="center" vertical="center"/>
    </xf>
    <xf numFmtId="0" fontId="3" fillId="8" borderId="7" xfId="0" applyFont="1" applyFill="1" applyBorder="1" applyAlignment="1">
      <alignment vertical="center" wrapText="1"/>
    </xf>
    <xf numFmtId="0" fontId="3" fillId="8" borderId="7" xfId="0" applyFont="1" applyFill="1" applyBorder="1" applyAlignment="1">
      <alignment horizontal="center" vertical="center"/>
    </xf>
    <xf numFmtId="2" fontId="3" fillId="8" borderId="7" xfId="0" applyNumberFormat="1" applyFont="1" applyFill="1" applyBorder="1" applyAlignment="1">
      <alignment horizontal="center" vertical="center"/>
    </xf>
    <xf numFmtId="0" fontId="3" fillId="8" borderId="7" xfId="0" applyFont="1" applyFill="1" applyBorder="1" applyAlignment="1">
      <alignment vertical="center"/>
    </xf>
    <xf numFmtId="1" fontId="5" fillId="8" borderId="20" xfId="0" applyNumberFormat="1" applyFont="1" applyFill="1" applyBorder="1" applyAlignment="1">
      <alignment horizontal="center" vertical="center"/>
    </xf>
    <xf numFmtId="0" fontId="5"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xf>
    <xf numFmtId="0" fontId="11" fillId="9" borderId="21" xfId="0" applyFont="1" applyFill="1" applyBorder="1" applyAlignment="1">
      <alignment horizontal="centerContinuous" vertical="center"/>
    </xf>
    <xf numFmtId="0" fontId="12" fillId="9" borderId="22" xfId="0" applyFont="1" applyFill="1" applyBorder="1" applyAlignment="1">
      <alignment horizontal="centerContinuous"/>
    </xf>
    <xf numFmtId="166" fontId="12" fillId="9" borderId="23" xfId="0" applyNumberFormat="1" applyFont="1" applyFill="1" applyBorder="1" applyAlignment="1">
      <alignment horizontal="center" vertical="center"/>
    </xf>
    <xf numFmtId="0" fontId="11" fillId="9" borderId="12" xfId="0" applyFont="1" applyFill="1" applyBorder="1" applyAlignment="1">
      <alignment horizontal="centerContinuous" vertical="center"/>
    </xf>
    <xf numFmtId="0" fontId="12" fillId="9" borderId="13" xfId="0" applyFont="1" applyFill="1" applyBorder="1" applyAlignment="1">
      <alignment horizontal="centerContinuous"/>
    </xf>
    <xf numFmtId="166" fontId="12" fillId="9" borderId="14" xfId="0" applyNumberFormat="1" applyFont="1" applyFill="1" applyBorder="1" applyAlignment="1">
      <alignment horizontal="center" vertical="center"/>
    </xf>
    <xf numFmtId="0" fontId="11" fillId="9" borderId="24" xfId="0" applyFont="1" applyFill="1" applyBorder="1" applyAlignment="1">
      <alignment horizontal="centerContinuous" vertical="center"/>
    </xf>
    <xf numFmtId="0" fontId="12" fillId="9" borderId="25" xfId="0" applyFont="1" applyFill="1" applyBorder="1" applyAlignment="1">
      <alignment horizontal="centerContinuous"/>
    </xf>
    <xf numFmtId="166" fontId="12" fillId="9" borderId="26" xfId="0" applyNumberFormat="1" applyFont="1" applyFill="1" applyBorder="1" applyAlignment="1">
      <alignment horizontal="center" vertical="center"/>
    </xf>
    <xf numFmtId="0" fontId="13" fillId="0" borderId="0" xfId="0" applyFont="1" applyAlignment="1">
      <alignment horizontal="centerContinuous" vertical="center"/>
    </xf>
    <xf numFmtId="0" fontId="1" fillId="0" borderId="0" xfId="0" applyFont="1" applyAlignment="1">
      <alignment horizontal="centerContinuous"/>
    </xf>
    <xf numFmtId="0" fontId="1" fillId="0" borderId="0" xfId="0" applyFont="1" applyAlignment="1">
      <alignment horizontal="center" vertical="center"/>
    </xf>
    <xf numFmtId="0" fontId="14" fillId="0" borderId="0" xfId="0" applyFont="1" applyAlignment="1">
      <alignment horizontal="right" vertical="center" wrapText="1"/>
    </xf>
    <xf numFmtId="0" fontId="14" fillId="0" borderId="0" xfId="0" applyFont="1" applyAlignment="1">
      <alignment horizontal="centerContinuous" vertical="center" wrapText="1"/>
    </xf>
    <xf numFmtId="0" fontId="15" fillId="0" borderId="0" xfId="0" applyFont="1" applyAlignment="1">
      <alignment horizontal="centerContinuous"/>
    </xf>
    <xf numFmtId="2" fontId="3" fillId="0" borderId="0" xfId="0" applyNumberFormat="1" applyFont="1" applyAlignment="1">
      <alignment horizontal="center" vertical="center"/>
    </xf>
    <xf numFmtId="0" fontId="5" fillId="0" borderId="0" xfId="0" applyFont="1" applyAlignment="1">
      <alignment vertical="center"/>
    </xf>
    <xf numFmtId="1" fontId="5" fillId="0" borderId="0" xfId="0" applyNumberFormat="1" applyFont="1" applyAlignment="1">
      <alignment horizontal="center" vertical="center"/>
    </xf>
    <xf numFmtId="0" fontId="16" fillId="10" borderId="27" xfId="0" applyFont="1" applyFill="1" applyBorder="1" applyAlignment="1">
      <alignment horizontal="center" vertical="center" wrapText="1"/>
    </xf>
    <xf numFmtId="0" fontId="16" fillId="10" borderId="28" xfId="0" applyFont="1" applyFill="1" applyBorder="1" applyAlignment="1">
      <alignment horizontal="center" vertical="center" wrapText="1"/>
    </xf>
    <xf numFmtId="4" fontId="16" fillId="10" borderId="28" xfId="0" applyNumberFormat="1" applyFont="1" applyFill="1" applyBorder="1" applyAlignment="1">
      <alignment horizontal="right" vertical="center" wrapText="1"/>
    </xf>
    <xf numFmtId="0" fontId="16" fillId="10" borderId="28" xfId="0" applyFont="1" applyFill="1" applyBorder="1" applyAlignment="1">
      <alignment horizontal="center" vertical="center" wrapText="1"/>
    </xf>
    <xf numFmtId="0" fontId="16" fillId="10" borderId="29" xfId="0" applyFont="1" applyFill="1" applyBorder="1" applyAlignment="1">
      <alignment horizontal="center" vertical="center" wrapText="1"/>
    </xf>
    <xf numFmtId="0" fontId="0" fillId="0" borderId="30" xfId="0" applyBorder="1"/>
    <xf numFmtId="0" fontId="15" fillId="11" borderId="31" xfId="0" applyFont="1" applyFill="1" applyBorder="1" applyAlignment="1">
      <alignment horizontal="left" vertical="center" wrapText="1"/>
    </xf>
    <xf numFmtId="0" fontId="15" fillId="11" borderId="16" xfId="0" applyFont="1" applyFill="1" applyBorder="1" applyAlignment="1">
      <alignment horizontal="left" vertical="center" wrapText="1"/>
    </xf>
    <xf numFmtId="3" fontId="13" fillId="11" borderId="16" xfId="0" applyNumberFormat="1" applyFont="1" applyFill="1" applyBorder="1" applyAlignment="1">
      <alignment horizontal="right" vertical="center"/>
    </xf>
    <xf numFmtId="49" fontId="15" fillId="11" borderId="16" xfId="0" applyNumberFormat="1" applyFont="1" applyFill="1" applyBorder="1" applyAlignment="1">
      <alignment horizontal="center" vertical="center"/>
    </xf>
    <xf numFmtId="4" fontId="15" fillId="11" borderId="16" xfId="0" applyNumberFormat="1" applyFont="1" applyFill="1" applyBorder="1" applyAlignment="1">
      <alignment horizontal="right" vertical="center"/>
    </xf>
    <xf numFmtId="9" fontId="15" fillId="11" borderId="16" xfId="0" applyNumberFormat="1" applyFont="1" applyFill="1" applyBorder="1" applyAlignment="1">
      <alignment horizontal="center" vertical="center"/>
    </xf>
    <xf numFmtId="3" fontId="15" fillId="11" borderId="16" xfId="0" applyNumberFormat="1" applyFont="1" applyFill="1" applyBorder="1" applyAlignment="1">
      <alignment horizontal="right"/>
    </xf>
    <xf numFmtId="3" fontId="15" fillId="11" borderId="32" xfId="0" applyNumberFormat="1" applyFont="1" applyFill="1" applyBorder="1" applyAlignment="1">
      <alignment horizontal="right"/>
    </xf>
    <xf numFmtId="0" fontId="0" fillId="0" borderId="33" xfId="0" applyBorder="1"/>
    <xf numFmtId="0" fontId="15" fillId="12" borderId="31" xfId="0" applyFont="1" applyFill="1" applyBorder="1" applyAlignment="1">
      <alignment horizontal="left" vertical="center" wrapText="1"/>
    </xf>
    <xf numFmtId="0" fontId="15" fillId="12" borderId="16" xfId="0" applyFont="1" applyFill="1" applyBorder="1" applyAlignment="1">
      <alignment horizontal="left" vertical="center" wrapText="1"/>
    </xf>
    <xf numFmtId="3" fontId="13" fillId="12" borderId="16" xfId="0" applyNumberFormat="1" applyFont="1" applyFill="1" applyBorder="1" applyAlignment="1">
      <alignment horizontal="right" vertical="center"/>
    </xf>
    <xf numFmtId="49" fontId="15" fillId="12" borderId="16" xfId="0" applyNumberFormat="1" applyFont="1" applyFill="1" applyBorder="1" applyAlignment="1">
      <alignment horizontal="center" vertical="center"/>
    </xf>
    <xf numFmtId="4" fontId="15" fillId="12" borderId="16" xfId="0" applyNumberFormat="1" applyFont="1" applyFill="1" applyBorder="1" applyAlignment="1">
      <alignment horizontal="right" vertical="center"/>
    </xf>
    <xf numFmtId="9" fontId="15" fillId="12" borderId="16" xfId="0" applyNumberFormat="1" applyFont="1" applyFill="1" applyBorder="1" applyAlignment="1">
      <alignment horizontal="center" vertical="center"/>
    </xf>
    <xf numFmtId="3" fontId="15" fillId="12" borderId="16" xfId="0" applyNumberFormat="1" applyFont="1" applyFill="1" applyBorder="1" applyAlignment="1">
      <alignment horizontal="right"/>
    </xf>
    <xf numFmtId="3" fontId="15" fillId="12" borderId="32" xfId="0" applyNumberFormat="1" applyFont="1" applyFill="1" applyBorder="1" applyAlignment="1">
      <alignment horizontal="right"/>
    </xf>
    <xf numFmtId="0" fontId="15" fillId="13" borderId="31" xfId="0" applyFont="1" applyFill="1" applyBorder="1" applyAlignment="1">
      <alignment horizontal="left" vertical="center" wrapText="1"/>
    </xf>
    <xf numFmtId="0" fontId="15" fillId="13" borderId="16" xfId="0" applyFont="1" applyFill="1" applyBorder="1" applyAlignment="1">
      <alignment horizontal="left" vertical="center" wrapText="1"/>
    </xf>
    <xf numFmtId="3" fontId="13" fillId="13" borderId="16" xfId="0" applyNumberFormat="1" applyFont="1" applyFill="1" applyBorder="1" applyAlignment="1">
      <alignment horizontal="right" vertical="center"/>
    </xf>
    <xf numFmtId="49" fontId="15" fillId="13" borderId="16" xfId="0" applyNumberFormat="1" applyFont="1" applyFill="1" applyBorder="1" applyAlignment="1">
      <alignment horizontal="center" vertical="center"/>
    </xf>
    <xf numFmtId="4" fontId="15" fillId="13" borderId="16" xfId="0" applyNumberFormat="1" applyFont="1" applyFill="1" applyBorder="1" applyAlignment="1">
      <alignment horizontal="right" vertical="center"/>
    </xf>
    <xf numFmtId="9" fontId="15" fillId="13" borderId="16" xfId="0" applyNumberFormat="1" applyFont="1" applyFill="1" applyBorder="1" applyAlignment="1">
      <alignment horizontal="center" vertical="center"/>
    </xf>
    <xf numFmtId="3" fontId="15" fillId="13" borderId="16" xfId="0" applyNumberFormat="1" applyFont="1" applyFill="1" applyBorder="1" applyAlignment="1">
      <alignment horizontal="right"/>
    </xf>
    <xf numFmtId="3" fontId="15" fillId="13" borderId="32" xfId="0" applyNumberFormat="1" applyFont="1" applyFill="1" applyBorder="1" applyAlignment="1">
      <alignment horizontal="right"/>
    </xf>
    <xf numFmtId="0" fontId="15" fillId="14" borderId="31" xfId="0" applyFont="1" applyFill="1" applyBorder="1" applyAlignment="1">
      <alignment horizontal="left" vertical="center" wrapText="1"/>
    </xf>
    <xf numFmtId="0" fontId="15" fillId="14" borderId="16" xfId="0" applyFont="1" applyFill="1" applyBorder="1" applyAlignment="1">
      <alignment horizontal="left" vertical="center" wrapText="1"/>
    </xf>
    <xf numFmtId="3" fontId="13" fillId="14" borderId="16" xfId="0" applyNumberFormat="1" applyFont="1" applyFill="1" applyBorder="1" applyAlignment="1">
      <alignment horizontal="right" vertical="center"/>
    </xf>
    <xf numFmtId="49" fontId="15" fillId="14" borderId="16" xfId="0" applyNumberFormat="1" applyFont="1" applyFill="1" applyBorder="1" applyAlignment="1">
      <alignment horizontal="center" vertical="center"/>
    </xf>
    <xf numFmtId="4" fontId="15" fillId="14" borderId="16" xfId="0" applyNumberFormat="1" applyFont="1" applyFill="1" applyBorder="1" applyAlignment="1">
      <alignment horizontal="right" vertical="center"/>
    </xf>
    <xf numFmtId="9" fontId="15" fillId="14" borderId="16" xfId="0" applyNumberFormat="1" applyFont="1" applyFill="1" applyBorder="1" applyAlignment="1">
      <alignment horizontal="center" vertical="center"/>
    </xf>
    <xf numFmtId="3" fontId="15" fillId="14" borderId="16" xfId="0" applyNumberFormat="1" applyFont="1" applyFill="1" applyBorder="1" applyAlignment="1">
      <alignment horizontal="right"/>
    </xf>
    <xf numFmtId="3" fontId="15" fillId="14" borderId="32" xfId="0" applyNumberFormat="1" applyFont="1" applyFill="1" applyBorder="1" applyAlignment="1">
      <alignment horizontal="right"/>
    </xf>
    <xf numFmtId="0" fontId="15" fillId="15" borderId="31" xfId="0" applyFont="1" applyFill="1" applyBorder="1" applyAlignment="1">
      <alignment horizontal="left" vertical="center" wrapText="1"/>
    </xf>
    <xf numFmtId="0" fontId="15" fillId="15" borderId="16" xfId="0" applyFont="1" applyFill="1" applyBorder="1" applyAlignment="1">
      <alignment horizontal="left" vertical="center" wrapText="1"/>
    </xf>
    <xf numFmtId="3" fontId="13" fillId="15" borderId="16" xfId="0" applyNumberFormat="1" applyFont="1" applyFill="1" applyBorder="1" applyAlignment="1">
      <alignment horizontal="right" vertical="center"/>
    </xf>
    <xf numFmtId="49" fontId="15" fillId="15" borderId="16" xfId="0" applyNumberFormat="1" applyFont="1" applyFill="1" applyBorder="1" applyAlignment="1">
      <alignment horizontal="center" vertical="center"/>
    </xf>
    <xf numFmtId="4" fontId="15" fillId="15" borderId="16" xfId="0" applyNumberFormat="1" applyFont="1" applyFill="1" applyBorder="1" applyAlignment="1">
      <alignment horizontal="right" vertical="center"/>
    </xf>
    <xf numFmtId="9" fontId="15" fillId="15" borderId="16" xfId="0" applyNumberFormat="1" applyFont="1" applyFill="1" applyBorder="1" applyAlignment="1">
      <alignment horizontal="center" vertical="center"/>
    </xf>
    <xf numFmtId="3" fontId="15" fillId="15" borderId="16" xfId="0" applyNumberFormat="1" applyFont="1" applyFill="1" applyBorder="1" applyAlignment="1">
      <alignment horizontal="right"/>
    </xf>
    <xf numFmtId="3" fontId="15" fillId="15" borderId="32" xfId="0" applyNumberFormat="1" applyFont="1" applyFill="1" applyBorder="1" applyAlignment="1">
      <alignment horizontal="right"/>
    </xf>
    <xf numFmtId="0" fontId="13" fillId="0" borderId="33" xfId="0" applyFont="1" applyBorder="1" applyAlignment="1">
      <alignment horizontal="center" vertical="top" wrapText="1"/>
    </xf>
    <xf numFmtId="0" fontId="15" fillId="16" borderId="31" xfId="0" applyFont="1" applyFill="1" applyBorder="1" applyAlignment="1">
      <alignment horizontal="left" vertical="center" wrapText="1"/>
    </xf>
    <xf numFmtId="0" fontId="15" fillId="16" borderId="16" xfId="0" applyFont="1" applyFill="1" applyBorder="1" applyAlignment="1">
      <alignment horizontal="left" vertical="center" wrapText="1"/>
    </xf>
    <xf numFmtId="3" fontId="13" fillId="16" borderId="16" xfId="0" applyNumberFormat="1" applyFont="1" applyFill="1" applyBorder="1" applyAlignment="1">
      <alignment horizontal="right" vertical="center"/>
    </xf>
    <xf numFmtId="49" fontId="15" fillId="16" borderId="16" xfId="0" applyNumberFormat="1" applyFont="1" applyFill="1" applyBorder="1" applyAlignment="1">
      <alignment horizontal="center" vertical="center"/>
    </xf>
    <xf numFmtId="4" fontId="15" fillId="16" borderId="16" xfId="0" applyNumberFormat="1" applyFont="1" applyFill="1" applyBorder="1" applyAlignment="1">
      <alignment horizontal="right" vertical="center"/>
    </xf>
    <xf numFmtId="9" fontId="15" fillId="16" borderId="16" xfId="0" applyNumberFormat="1" applyFont="1" applyFill="1" applyBorder="1" applyAlignment="1">
      <alignment horizontal="center" vertical="center"/>
    </xf>
    <xf numFmtId="3" fontId="15" fillId="16" borderId="16" xfId="0" applyNumberFormat="1" applyFont="1" applyFill="1" applyBorder="1" applyAlignment="1">
      <alignment horizontal="right"/>
    </xf>
    <xf numFmtId="3" fontId="15" fillId="16" borderId="32" xfId="0" applyNumberFormat="1" applyFont="1" applyFill="1" applyBorder="1" applyAlignment="1">
      <alignment horizontal="right"/>
    </xf>
    <xf numFmtId="0" fontId="0" fillId="0" borderId="34" xfId="0" applyBorder="1"/>
    <xf numFmtId="4" fontId="13" fillId="13" borderId="16" xfId="0" applyNumberFormat="1" applyFont="1" applyFill="1" applyBorder="1" applyAlignment="1">
      <alignment horizontal="right" vertical="center"/>
    </xf>
    <xf numFmtId="0" fontId="16" fillId="14" borderId="35" xfId="0" applyFont="1" applyFill="1" applyBorder="1" applyAlignment="1">
      <alignment horizontal="centerContinuous" vertical="center" wrapText="1"/>
    </xf>
    <xf numFmtId="0" fontId="16" fillId="14" borderId="22" xfId="0" applyFont="1" applyFill="1" applyBorder="1" applyAlignment="1">
      <alignment horizontal="centerContinuous" vertical="center" wrapText="1"/>
    </xf>
    <xf numFmtId="3" fontId="17" fillId="14" borderId="36" xfId="0" applyNumberFormat="1" applyFont="1" applyFill="1" applyBorder="1" applyAlignment="1">
      <alignment horizontal="right" vertical="center"/>
    </xf>
    <xf numFmtId="3" fontId="17" fillId="14" borderId="37" xfId="0" applyNumberFormat="1" applyFont="1" applyFill="1" applyBorder="1" applyAlignment="1">
      <alignment horizontal="right" vertical="center"/>
    </xf>
    <xf numFmtId="0" fontId="14" fillId="15" borderId="38" xfId="0" applyFont="1" applyFill="1" applyBorder="1" applyAlignment="1">
      <alignment horizontal="centerContinuous" vertical="center"/>
    </xf>
    <xf numFmtId="0" fontId="14" fillId="15" borderId="13" xfId="0" applyFont="1" applyFill="1" applyBorder="1" applyAlignment="1">
      <alignment horizontal="centerContinuous" vertical="center"/>
    </xf>
    <xf numFmtId="3" fontId="18" fillId="15" borderId="16" xfId="0" applyNumberFormat="1" applyFont="1" applyFill="1" applyBorder="1" applyAlignment="1">
      <alignment horizontal="right" vertical="center"/>
    </xf>
    <xf numFmtId="3" fontId="18" fillId="15" borderId="39" xfId="0" applyNumberFormat="1" applyFont="1" applyFill="1" applyBorder="1" applyAlignment="1">
      <alignment horizontal="right" vertical="center"/>
    </xf>
    <xf numFmtId="0" fontId="16" fillId="16" borderId="40" xfId="0" applyFont="1" applyFill="1" applyBorder="1" applyAlignment="1">
      <alignment horizontal="centerContinuous" vertical="center" wrapText="1"/>
    </xf>
    <xf numFmtId="0" fontId="16" fillId="16" borderId="41" xfId="0" applyFont="1" applyFill="1" applyBorder="1" applyAlignment="1">
      <alignment horizontal="centerContinuous" vertical="center" wrapText="1"/>
    </xf>
    <xf numFmtId="3" fontId="17" fillId="16" borderId="42" xfId="0" applyNumberFormat="1" applyFont="1" applyFill="1" applyBorder="1" applyAlignment="1">
      <alignment horizontal="right" vertical="center"/>
    </xf>
    <xf numFmtId="3" fontId="17" fillId="16" borderId="43" xfId="0" applyNumberFormat="1" applyFont="1" applyFill="1" applyBorder="1" applyAlignment="1">
      <alignment horizontal="right" vertical="center"/>
    </xf>
    <xf numFmtId="0" fontId="15" fillId="0" borderId="0" xfId="0" applyFont="1" applyAlignment="1">
      <alignment horizontal="right"/>
    </xf>
    <xf numFmtId="0" fontId="18" fillId="0" borderId="0" xfId="0" applyFont="1" applyAlignment="1">
      <alignment horizontal="centerContinuous" vertical="center" wrapText="1"/>
    </xf>
  </cellXfs>
  <cellStyles count="1">
    <cellStyle name="Normal" xfId="0" builtinId="0"/>
  </cellStyles>
  <dxfs count="6">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F2DB-121E-4B60-800B-5785FF5224D7}">
  <sheetPr>
    <tabColor rgb="FF92D050"/>
  </sheetPr>
  <dimension ref="A1:N155"/>
  <sheetViews>
    <sheetView showGridLines="0" tabSelected="1" zoomScaleNormal="100" zoomScaleSheetLayoutView="100" workbookViewId="0">
      <selection activeCell="C8" sqref="C8"/>
    </sheetView>
  </sheetViews>
  <sheetFormatPr defaultColWidth="0" defaultRowHeight="0" customHeight="1" zeroHeight="1" x14ac:dyDescent="0.3"/>
  <cols>
    <col min="1" max="2" width="10.77734375" style="147" customWidth="1"/>
    <col min="3" max="3" width="69.77734375" style="148" customWidth="1"/>
    <col min="4" max="7" width="10.77734375" style="149" customWidth="1"/>
    <col min="8" max="8" width="10.77734375" style="165" customWidth="1"/>
    <col min="9" max="9" width="10.77734375" style="166" customWidth="1"/>
    <col min="10" max="10" width="10.77734375" style="98" customWidth="1"/>
    <col min="11" max="11" width="10.77734375" style="147" customWidth="1"/>
    <col min="12" max="12" width="11.77734375" style="167" customWidth="1"/>
    <col min="13" max="13" width="12.77734375" style="4" customWidth="1"/>
    <col min="14" max="14" width="5.77734375" style="4" customWidth="1"/>
    <col min="15" max="16384" width="9.33203125" style="4" hidden="1"/>
  </cols>
  <sheetData>
    <row r="1" spans="1:12" ht="15.6" customHeight="1" x14ac:dyDescent="0.3">
      <c r="A1" s="1" t="s">
        <v>0</v>
      </c>
      <c r="B1" s="2"/>
      <c r="C1" s="2"/>
      <c r="D1" s="2"/>
      <c r="E1" s="2"/>
      <c r="F1" s="2"/>
      <c r="G1" s="2"/>
      <c r="H1" s="2"/>
      <c r="I1" s="2"/>
      <c r="J1" s="2"/>
      <c r="K1" s="2"/>
      <c r="L1" s="3"/>
    </row>
    <row r="2" spans="1:12" ht="15.6" customHeight="1" x14ac:dyDescent="0.3">
      <c r="A2" s="5"/>
      <c r="B2" s="6"/>
      <c r="C2" s="6"/>
      <c r="D2" s="6"/>
      <c r="E2" s="6"/>
      <c r="F2" s="6"/>
      <c r="G2" s="6"/>
      <c r="H2" s="6"/>
      <c r="I2" s="6"/>
      <c r="J2" s="6"/>
      <c r="K2" s="6"/>
      <c r="L2" s="7"/>
    </row>
    <row r="3" spans="1:12" ht="15.6" customHeight="1" x14ac:dyDescent="0.3">
      <c r="A3" s="5"/>
      <c r="B3" s="6"/>
      <c r="C3" s="6"/>
      <c r="D3" s="6"/>
      <c r="E3" s="6"/>
      <c r="F3" s="6"/>
      <c r="G3" s="6"/>
      <c r="H3" s="6"/>
      <c r="I3" s="6"/>
      <c r="J3" s="6"/>
      <c r="K3" s="6"/>
      <c r="L3" s="7"/>
    </row>
    <row r="4" spans="1:12" ht="15.6" customHeight="1" thickBot="1" x14ac:dyDescent="0.35">
      <c r="A4" s="8"/>
      <c r="B4" s="9"/>
      <c r="C4" s="9"/>
      <c r="D4" s="9"/>
      <c r="E4" s="9"/>
      <c r="F4" s="9"/>
      <c r="G4" s="9"/>
      <c r="H4" s="9"/>
      <c r="I4" s="9"/>
      <c r="J4" s="9"/>
      <c r="K4" s="9"/>
      <c r="L4" s="10"/>
    </row>
    <row r="5" spans="1:12" ht="35.4" thickTop="1" x14ac:dyDescent="0.3">
      <c r="A5" s="11" t="s">
        <v>1</v>
      </c>
      <c r="B5" s="12" t="s">
        <v>2</v>
      </c>
      <c r="C5" s="13" t="s">
        <v>3</v>
      </c>
      <c r="D5" s="13" t="s">
        <v>4</v>
      </c>
      <c r="E5" s="13" t="s">
        <v>5</v>
      </c>
      <c r="F5" s="13" t="s">
        <v>6</v>
      </c>
      <c r="G5" s="13" t="s">
        <v>7</v>
      </c>
      <c r="H5" s="14" t="s">
        <v>8</v>
      </c>
      <c r="I5" s="13" t="s">
        <v>9</v>
      </c>
      <c r="J5" s="13" t="s">
        <v>10</v>
      </c>
      <c r="K5" s="13" t="s">
        <v>11</v>
      </c>
      <c r="L5" s="15" t="s">
        <v>12</v>
      </c>
    </row>
    <row r="6" spans="1:12" ht="17.399999999999999" x14ac:dyDescent="0.3">
      <c r="A6" s="16"/>
      <c r="B6" s="17"/>
      <c r="C6" s="18"/>
      <c r="D6" s="18"/>
      <c r="E6" s="18"/>
      <c r="F6" s="18"/>
      <c r="G6" s="18"/>
      <c r="H6" s="19"/>
      <c r="I6" s="20"/>
      <c r="J6" s="21"/>
      <c r="K6" s="22"/>
      <c r="L6" s="23"/>
    </row>
    <row r="7" spans="1:12" ht="53.4" x14ac:dyDescent="0.3">
      <c r="A7" s="24">
        <f>IFERROR(LOOKUP(2,1/(ISNUMBER($A$5:$A$6)),$A$5:$A$6),0)+1</f>
        <v>1</v>
      </c>
      <c r="B7" s="25" t="s">
        <v>13</v>
      </c>
      <c r="C7" s="26" t="s">
        <v>14</v>
      </c>
      <c r="D7" s="27"/>
      <c r="E7" s="27"/>
      <c r="F7" s="27" t="s">
        <v>15</v>
      </c>
      <c r="G7" s="27"/>
      <c r="H7" s="28"/>
      <c r="I7" s="29"/>
      <c r="J7" s="30"/>
      <c r="K7" s="31"/>
      <c r="L7" s="32"/>
    </row>
    <row r="8" spans="1:12" ht="15.6" x14ac:dyDescent="0.3">
      <c r="A8" s="33"/>
      <c r="B8" s="34"/>
      <c r="C8" s="35"/>
      <c r="D8" s="35">
        <v>1</v>
      </c>
      <c r="E8" s="35">
        <v>95</v>
      </c>
      <c r="F8" s="35">
        <v>24</v>
      </c>
      <c r="G8" s="35"/>
      <c r="H8" s="36">
        <f>D8*IF(OR(E8=0,E8="-"),1,E8)*IF(OR(F8=0,F8="-"),1,F8)*IF(OR(G8=0,G8="-"),1,G8)</f>
        <v>2280</v>
      </c>
      <c r="I8" s="37" t="s">
        <v>16</v>
      </c>
      <c r="J8" s="30"/>
      <c r="K8" s="31"/>
      <c r="L8" s="32"/>
    </row>
    <row r="9" spans="1:12" ht="15.6" x14ac:dyDescent="0.3">
      <c r="A9" s="38"/>
      <c r="B9" s="39"/>
      <c r="C9" s="40"/>
      <c r="D9" s="39"/>
      <c r="E9" s="39"/>
      <c r="F9" s="41" t="s">
        <v>17</v>
      </c>
      <c r="G9" s="41"/>
      <c r="H9" s="42">
        <f>SUM(H8:INDEX(H:H,ROW()-1))</f>
        <v>2280</v>
      </c>
      <c r="I9" s="43" t="s">
        <v>16</v>
      </c>
      <c r="J9" s="44"/>
      <c r="K9" s="45" t="str">
        <f>""</f>
        <v/>
      </c>
      <c r="L9" s="46"/>
    </row>
    <row r="10" spans="1:12" ht="31.2" x14ac:dyDescent="0.3">
      <c r="A10" s="47"/>
      <c r="B10" s="48"/>
      <c r="C10" s="49"/>
      <c r="D10" s="48"/>
      <c r="E10" s="50" t="s">
        <v>18</v>
      </c>
      <c r="F10" s="50"/>
      <c r="G10" s="50"/>
      <c r="H10" s="51">
        <f>ROUND(H9*0.0929,3)</f>
        <v>211.81200000000001</v>
      </c>
      <c r="I10" s="52" t="s">
        <v>19</v>
      </c>
      <c r="J10" s="44" t="s">
        <v>20</v>
      </c>
      <c r="K10" s="31">
        <f>IF(B7="4.4.1",_xlfn.IFS(J10="Labour Rate",11,J10="Through Rate",11,TRUE,""),"")</f>
        <v>11</v>
      </c>
      <c r="L10" s="53">
        <f>IF(H10*K10&lt;&gt;0,H10*K10,0)</f>
        <v>2329.9320000000002</v>
      </c>
    </row>
    <row r="11" spans="1:12" ht="13.95" customHeight="1" x14ac:dyDescent="0.3">
      <c r="A11" s="54"/>
      <c r="B11" s="55"/>
      <c r="C11" s="56"/>
      <c r="D11" s="57"/>
      <c r="E11" s="57"/>
      <c r="F11" s="57"/>
      <c r="G11" s="57"/>
      <c r="H11" s="58"/>
      <c r="I11" s="59"/>
      <c r="J11" s="60"/>
      <c r="K11" s="61"/>
      <c r="L11" s="62"/>
    </row>
    <row r="12" spans="1:12" ht="111.6" x14ac:dyDescent="0.3">
      <c r="A12" s="24">
        <f>IFERROR(LOOKUP(2,1/(ISNUMBER($A$5:$A$11)),$A$5:$A$11),0)+1</f>
        <v>2</v>
      </c>
      <c r="B12" s="63" t="s">
        <v>21</v>
      </c>
      <c r="C12" s="26" t="s">
        <v>22</v>
      </c>
      <c r="D12" s="64"/>
      <c r="E12" s="65"/>
      <c r="F12" s="65"/>
      <c r="G12" s="65"/>
      <c r="H12" s="66"/>
      <c r="I12" s="67"/>
      <c r="J12" s="60"/>
      <c r="K12" s="68"/>
      <c r="L12" s="69"/>
    </row>
    <row r="13" spans="1:12" ht="15.6" x14ac:dyDescent="0.3">
      <c r="A13" s="33"/>
      <c r="B13" s="70"/>
      <c r="C13" s="71"/>
      <c r="D13" s="72">
        <v>1</v>
      </c>
      <c r="E13" s="73">
        <v>95</v>
      </c>
      <c r="F13" s="72">
        <v>24</v>
      </c>
      <c r="G13" s="72">
        <v>0.58299999999999996</v>
      </c>
      <c r="H13" s="74">
        <f>D13*IF(OR(E13=0,E13="-"),1,E13)*IF(OR(F13=0,F13="-"),1,F13)*IF(OR(G13=0,G13="-"),1,G13)</f>
        <v>1329.24</v>
      </c>
      <c r="I13" s="75" t="s">
        <v>23</v>
      </c>
      <c r="J13" s="30"/>
      <c r="K13" s="76"/>
      <c r="L13" s="77"/>
    </row>
    <row r="14" spans="1:12" ht="15.6" x14ac:dyDescent="0.3">
      <c r="A14" s="38"/>
      <c r="B14" s="78"/>
      <c r="C14" s="43"/>
      <c r="D14" s="78"/>
      <c r="E14" s="78"/>
      <c r="F14" s="79" t="s">
        <v>24</v>
      </c>
      <c r="G14" s="79"/>
      <c r="H14" s="80">
        <f>SUM(H13:INDEX(H:H,ROW()-1))</f>
        <v>1329.24</v>
      </c>
      <c r="I14" s="81" t="s">
        <v>23</v>
      </c>
      <c r="J14" s="44"/>
      <c r="K14" s="82" t="str">
        <f>""</f>
        <v/>
      </c>
      <c r="L14" s="83"/>
    </row>
    <row r="15" spans="1:12" ht="46.8" x14ac:dyDescent="0.3">
      <c r="A15" s="47"/>
      <c r="B15" s="84"/>
      <c r="C15" s="52"/>
      <c r="D15" s="84"/>
      <c r="E15" s="85" t="s">
        <v>25</v>
      </c>
      <c r="F15" s="85"/>
      <c r="G15" s="85"/>
      <c r="H15" s="86">
        <f>ROUND(H14*0.0283,3)</f>
        <v>37.616999999999997</v>
      </c>
      <c r="I15" s="52" t="s">
        <v>26</v>
      </c>
      <c r="J15" s="44" t="s">
        <v>27</v>
      </c>
      <c r="K15" s="76">
        <f>IF(B12="17.23.1",_xlfn.IFS(J15="Labour Rate Amnd",21,J15="Machinery Rate Amnd",135,J15="Material Rate Amnd",1032,J15="Through Rate Amnd",1188,J15="Labour Rate",21,J15="Machinery Rate",96,J15="Material Rate",921,J15="Through Rate",1038,J15="Labour + Machinery Rate",117,J15="Labour + Machinery Rate Amnd",156,TRUE,""),"")</f>
        <v>1188</v>
      </c>
      <c r="L15" s="87">
        <f>IF(H15*K15&lt;&gt;0,H15*K15,0)</f>
        <v>44688.995999999999</v>
      </c>
    </row>
    <row r="16" spans="1:12" ht="13.95" customHeight="1" x14ac:dyDescent="0.3">
      <c r="A16" s="54"/>
      <c r="B16" s="88"/>
      <c r="C16" s="89"/>
      <c r="D16" s="90"/>
      <c r="E16" s="90"/>
      <c r="F16" s="90"/>
      <c r="G16" s="90"/>
      <c r="H16" s="66"/>
      <c r="I16" s="91"/>
      <c r="J16" s="60"/>
      <c r="K16" s="68"/>
      <c r="L16" s="92"/>
    </row>
    <row r="17" spans="1:12" ht="63.6" x14ac:dyDescent="0.3">
      <c r="A17" s="93">
        <f>IFERROR(LOOKUP(2,1/(ISNUMBER($A$5:$A$16)),$A$5:$A$16),0)+1</f>
        <v>3</v>
      </c>
      <c r="B17" s="63" t="s">
        <v>28</v>
      </c>
      <c r="C17" s="94" t="s">
        <v>29</v>
      </c>
      <c r="D17" s="72"/>
      <c r="E17" s="72"/>
      <c r="F17" s="27" t="s">
        <v>15</v>
      </c>
      <c r="G17" s="27"/>
      <c r="H17" s="95"/>
      <c r="I17" s="75"/>
      <c r="J17" s="30"/>
      <c r="K17" s="76"/>
      <c r="L17" s="77"/>
    </row>
    <row r="18" spans="1:12" ht="15.6" customHeight="1" x14ac:dyDescent="0.3">
      <c r="A18" s="93"/>
      <c r="B18" s="70"/>
      <c r="C18" s="27"/>
      <c r="D18" s="72">
        <v>1</v>
      </c>
      <c r="E18" s="73">
        <v>95</v>
      </c>
      <c r="F18" s="72">
        <v>24</v>
      </c>
      <c r="G18" s="35"/>
      <c r="H18" s="36">
        <f>D18*IF(OR(E18=0,E18="-"),1,E18)*IF(OR(F18=0,F18="-"),1,F18)*IF(OR(G18=0,G18="-"),1,G18)</f>
        <v>2280</v>
      </c>
      <c r="I18" s="37" t="s">
        <v>16</v>
      </c>
      <c r="J18" s="30"/>
      <c r="K18" s="76"/>
      <c r="L18" s="77"/>
    </row>
    <row r="19" spans="1:12" ht="15.6" x14ac:dyDescent="0.3">
      <c r="A19" s="96"/>
      <c r="B19" s="78"/>
      <c r="C19" s="40"/>
      <c r="D19" s="78"/>
      <c r="E19" s="78"/>
      <c r="F19" s="79" t="s">
        <v>17</v>
      </c>
      <c r="G19" s="79"/>
      <c r="H19" s="80">
        <f>SUM(H18:INDEX(H:H,ROW()-1))</f>
        <v>2280</v>
      </c>
      <c r="I19" s="81" t="s">
        <v>16</v>
      </c>
      <c r="J19" s="44"/>
      <c r="K19" s="82" t="str">
        <f>""</f>
        <v/>
      </c>
      <c r="L19" s="83"/>
    </row>
    <row r="20" spans="1:12" s="98" customFormat="1" ht="46.8" x14ac:dyDescent="0.3">
      <c r="A20" s="97"/>
      <c r="B20" s="84"/>
      <c r="C20" s="49"/>
      <c r="D20" s="84"/>
      <c r="E20" s="85" t="s">
        <v>18</v>
      </c>
      <c r="F20" s="85"/>
      <c r="G20" s="85"/>
      <c r="H20" s="86">
        <f>ROUND(H19*0.0929,3)</f>
        <v>211.81200000000001</v>
      </c>
      <c r="I20" s="52" t="s">
        <v>19</v>
      </c>
      <c r="J20" s="44" t="s">
        <v>27</v>
      </c>
      <c r="K20" s="76">
        <f>IF(B17="17.69.2",_xlfn.IFS(J20="Labour Rate Amnd",88,J20="Machinery Rate Amnd",5,J20="Material Rate Amnd",562,J20="Through Rate Amnd",655,J20="Labour Rate",40,J20="Machinery Rate",5,J20="Material Rate",562,J20="Through Rate",607,J20="Labour + Machinery Rate",45,J20="Labour + Machinery Rate Amnd",93,TRUE,""),"")</f>
        <v>655</v>
      </c>
      <c r="L20" s="87">
        <f>IF(H20*K20&lt;&gt;0,H20*K20,0)</f>
        <v>138736.86000000002</v>
      </c>
    </row>
    <row r="21" spans="1:12" s="98" customFormat="1" ht="13.95" customHeight="1" x14ac:dyDescent="0.3">
      <c r="A21" s="99"/>
      <c r="B21" s="88"/>
      <c r="C21" s="100"/>
      <c r="D21" s="88"/>
      <c r="E21" s="88"/>
      <c r="F21" s="88"/>
      <c r="G21" s="88"/>
      <c r="H21" s="101"/>
      <c r="I21" s="59"/>
      <c r="J21" s="102"/>
      <c r="K21" s="68"/>
      <c r="L21" s="103"/>
    </row>
    <row r="22" spans="1:12" ht="39.6" x14ac:dyDescent="0.3">
      <c r="A22" s="93">
        <f>IFERROR(LOOKUP(2,1/(ISNUMBER($A$5:$A$21)),$A$5:$A$21),0)+1</f>
        <v>4</v>
      </c>
      <c r="B22" s="63" t="s">
        <v>30</v>
      </c>
      <c r="C22" s="104" t="s">
        <v>31</v>
      </c>
      <c r="D22" s="64"/>
      <c r="E22" s="65"/>
      <c r="F22" s="65"/>
      <c r="G22" s="65"/>
      <c r="H22" s="66"/>
      <c r="I22" s="67"/>
      <c r="J22" s="60"/>
      <c r="K22" s="105"/>
      <c r="L22" s="69"/>
    </row>
    <row r="23" spans="1:12" ht="15.6" x14ac:dyDescent="0.3">
      <c r="A23" s="93"/>
      <c r="B23" s="70"/>
      <c r="C23" s="106"/>
      <c r="D23" s="72">
        <v>2</v>
      </c>
      <c r="E23" s="72">
        <v>50</v>
      </c>
      <c r="F23" s="72">
        <v>0.75</v>
      </c>
      <c r="G23" s="72">
        <v>0.75</v>
      </c>
      <c r="H23" s="107">
        <f>D23*IF(OR(E23=0,E23="-"),1,E23)*IF(OR(F23=0,F23="-"),1,F23)*IF(OR(G23=0,G23="-"),1,G23)</f>
        <v>56.25</v>
      </c>
      <c r="I23" s="108" t="s">
        <v>23</v>
      </c>
      <c r="J23" s="109"/>
      <c r="K23" s="110"/>
      <c r="L23" s="111"/>
    </row>
    <row r="24" spans="1:12" ht="15.6" x14ac:dyDescent="0.3">
      <c r="A24" s="96"/>
      <c r="B24" s="78"/>
      <c r="C24" s="40"/>
      <c r="D24" s="78"/>
      <c r="E24" s="78"/>
      <c r="F24" s="79" t="s">
        <v>24</v>
      </c>
      <c r="G24" s="79"/>
      <c r="H24" s="112">
        <f>SUM(H23:INDEX(H:H,ROW()-1))</f>
        <v>56.25</v>
      </c>
      <c r="I24" s="113" t="s">
        <v>23</v>
      </c>
      <c r="J24" s="109"/>
      <c r="K24" s="114" t="str">
        <f>""</f>
        <v/>
      </c>
      <c r="L24" s="115"/>
    </row>
    <row r="25" spans="1:12" ht="41.4" x14ac:dyDescent="0.3">
      <c r="A25" s="97"/>
      <c r="B25" s="84"/>
      <c r="C25" s="49"/>
      <c r="D25" s="84"/>
      <c r="E25" s="85" t="s">
        <v>25</v>
      </c>
      <c r="F25" s="85"/>
      <c r="G25" s="85"/>
      <c r="H25" s="112">
        <f>ROUND(H24*0.0283,3)</f>
        <v>1.5920000000000001</v>
      </c>
      <c r="I25" s="116" t="s">
        <v>32</v>
      </c>
      <c r="J25" s="109" t="s">
        <v>27</v>
      </c>
      <c r="K25" s="110">
        <f>IF(B22="7.21.2",_xlfn.IFS(J25="Labour Rate Amnd",823,J25="Material Rate Amnd",3144,J25="Through Rate Amnd",3968,J25="Labour Rate",387,J25="Material Rate",3144,J25="Through Rate",3531,TRUE,""),"")</f>
        <v>3968</v>
      </c>
      <c r="L25" s="117">
        <f>IF(H25*K25&lt;&gt;0,H25*K25,0)</f>
        <v>6317.0560000000005</v>
      </c>
    </row>
    <row r="26" spans="1:12" ht="13.95" customHeight="1" x14ac:dyDescent="0.3">
      <c r="A26" s="99"/>
      <c r="B26" s="88"/>
      <c r="C26" s="56"/>
      <c r="D26" s="90"/>
      <c r="E26" s="90"/>
      <c r="F26" s="90"/>
      <c r="G26" s="90"/>
      <c r="H26" s="118"/>
      <c r="I26" s="119"/>
      <c r="J26" s="120"/>
      <c r="K26" s="121"/>
      <c r="L26" s="122"/>
    </row>
    <row r="27" spans="1:12" ht="69" x14ac:dyDescent="0.3">
      <c r="A27" s="93">
        <f>IFERROR(LOOKUP(2,1/(ISNUMBER($A$5:$A$26)),$A$5:$A$26),0)+1</f>
        <v>5</v>
      </c>
      <c r="B27" s="63" t="s">
        <v>33</v>
      </c>
      <c r="C27" s="104" t="s">
        <v>34</v>
      </c>
      <c r="D27" s="64"/>
      <c r="E27" s="65"/>
      <c r="F27" s="65"/>
      <c r="G27" s="65"/>
      <c r="H27" s="118"/>
      <c r="I27" s="123"/>
      <c r="J27" s="120"/>
      <c r="K27" s="121"/>
      <c r="L27" s="124"/>
    </row>
    <row r="28" spans="1:12" ht="13.95" customHeight="1" x14ac:dyDescent="0.3">
      <c r="A28" s="125"/>
      <c r="B28" s="126"/>
      <c r="C28" s="127"/>
      <c r="D28" s="128">
        <v>2</v>
      </c>
      <c r="E28" s="128">
        <v>50</v>
      </c>
      <c r="F28" s="128"/>
      <c r="G28" s="128"/>
      <c r="H28" s="107">
        <f>D28*IF(OR(E28=0,E28="-"),1,E28)*IF(OR(F28=0,F28="-"),1,F28)*IF(OR(G28=0,G28="-"),1,G28)</f>
        <v>100</v>
      </c>
      <c r="I28" s="129" t="s">
        <v>35</v>
      </c>
      <c r="J28" s="109"/>
      <c r="K28" s="110"/>
      <c r="L28" s="130"/>
    </row>
    <row r="29" spans="1:12" ht="13.95" customHeight="1" x14ac:dyDescent="0.3">
      <c r="A29" s="96"/>
      <c r="B29" s="78"/>
      <c r="C29" s="40"/>
      <c r="D29" s="78"/>
      <c r="E29" s="78"/>
      <c r="F29" s="79" t="s">
        <v>36</v>
      </c>
      <c r="G29" s="79"/>
      <c r="H29" s="131">
        <f>SUM(H28:INDEX(H:H,ROW()-1))</f>
        <v>100</v>
      </c>
      <c r="I29" s="113" t="s">
        <v>35</v>
      </c>
      <c r="J29" s="109"/>
      <c r="K29" s="114" t="str">
        <f>""</f>
        <v/>
      </c>
      <c r="L29" s="115"/>
    </row>
    <row r="30" spans="1:12" ht="27.6" x14ac:dyDescent="0.3">
      <c r="A30" s="97"/>
      <c r="B30" s="84"/>
      <c r="C30" s="49"/>
      <c r="D30" s="84"/>
      <c r="E30" s="85" t="s">
        <v>37</v>
      </c>
      <c r="F30" s="85"/>
      <c r="G30" s="85"/>
      <c r="H30" s="112">
        <f>ROUND(H29*0.3048,3)</f>
        <v>30.48</v>
      </c>
      <c r="I30" s="116" t="s">
        <v>38</v>
      </c>
      <c r="J30" s="109" t="s">
        <v>20</v>
      </c>
      <c r="K30" s="110">
        <f>IF(B27="21.53",_xlfn.IFS(J30="Labour Rate",160,J30="Through Rate",160,TRUE,""),"")</f>
        <v>160</v>
      </c>
      <c r="L30" s="117">
        <f>IF(H30*K30&lt;&gt;0,H30*K30,0)</f>
        <v>4876.8</v>
      </c>
    </row>
    <row r="31" spans="1:12" ht="13.95" customHeight="1" x14ac:dyDescent="0.3">
      <c r="A31" s="99"/>
      <c r="B31" s="88"/>
      <c r="C31" s="56"/>
      <c r="D31" s="90"/>
      <c r="E31" s="90"/>
      <c r="F31" s="90"/>
      <c r="G31" s="90"/>
      <c r="H31" s="118"/>
      <c r="I31" s="119"/>
      <c r="J31" s="120"/>
      <c r="K31" s="121"/>
      <c r="L31" s="122"/>
    </row>
    <row r="32" spans="1:12" ht="27.6" x14ac:dyDescent="0.3">
      <c r="A32" s="93">
        <f>IFERROR(LOOKUP(2,1/(ISNUMBER($A$5:$A$31)),$A$5:$A$31),0)+1</f>
        <v>6</v>
      </c>
      <c r="B32" s="63" t="s">
        <v>39</v>
      </c>
      <c r="C32" s="104" t="s">
        <v>40</v>
      </c>
      <c r="D32" s="64"/>
      <c r="E32" s="65"/>
      <c r="F32" s="65"/>
      <c r="G32" s="65"/>
      <c r="H32" s="118"/>
      <c r="I32" s="123"/>
      <c r="J32" s="120"/>
      <c r="K32" s="121"/>
      <c r="L32" s="124"/>
    </row>
    <row r="33" spans="1:12" ht="15.6" x14ac:dyDescent="0.3">
      <c r="A33" s="93"/>
      <c r="B33" s="70"/>
      <c r="C33" s="106"/>
      <c r="D33" s="72">
        <v>1</v>
      </c>
      <c r="E33" s="72">
        <v>50</v>
      </c>
      <c r="F33" s="72">
        <v>0.75</v>
      </c>
      <c r="G33" s="72"/>
      <c r="H33" s="107">
        <f>D33*IF(OR(E33=0,E33="-"),1,E33)*IF(OR(F33=0,F33="-"),1,F33)*IF(OR(G33=0,G33="-"),1,G33)</f>
        <v>37.5</v>
      </c>
      <c r="I33" s="108" t="s">
        <v>16</v>
      </c>
      <c r="J33" s="109"/>
      <c r="K33" s="110"/>
      <c r="L33" s="111"/>
    </row>
    <row r="34" spans="1:12" ht="15.6" x14ac:dyDescent="0.3">
      <c r="A34" s="96"/>
      <c r="B34" s="78"/>
      <c r="C34" s="40"/>
      <c r="D34" s="78"/>
      <c r="E34" s="78"/>
      <c r="F34" s="79" t="s">
        <v>17</v>
      </c>
      <c r="G34" s="79"/>
      <c r="H34" s="112">
        <f>SUM(H33:INDEX(H:H,ROW()-1))</f>
        <v>37.5</v>
      </c>
      <c r="I34" s="113" t="s">
        <v>16</v>
      </c>
      <c r="J34" s="132"/>
      <c r="K34" s="133" t="str">
        <f>""</f>
        <v/>
      </c>
      <c r="L34" s="134"/>
    </row>
    <row r="35" spans="1:12" s="98" customFormat="1" ht="36" x14ac:dyDescent="0.3">
      <c r="A35" s="135" t="s">
        <v>41</v>
      </c>
      <c r="B35" s="84"/>
      <c r="C35" s="49"/>
      <c r="D35" s="84"/>
      <c r="E35" s="85" t="s">
        <v>18</v>
      </c>
      <c r="F35" s="85"/>
      <c r="G35" s="85"/>
      <c r="H35" s="112">
        <f>ROUND(H34*0.0929,3)</f>
        <v>3.484</v>
      </c>
      <c r="I35" s="136" t="s">
        <v>19</v>
      </c>
      <c r="J35" s="137" t="s">
        <v>20</v>
      </c>
      <c r="K35" s="138">
        <f>IF(B32="10.8",_xlfn.IFS(J35="Labour Rate",70,J35="Material Rate",112,J35="Through Rate",181,TRUE,""),"")</f>
        <v>181</v>
      </c>
      <c r="L35" s="139">
        <f>IF(H35*K35&lt;&gt;0,H35*K35,0)</f>
        <v>630.60400000000004</v>
      </c>
    </row>
    <row r="36" spans="1:12" ht="13.95" customHeight="1" thickBot="1" x14ac:dyDescent="0.35">
      <c r="A36" s="140"/>
      <c r="B36" s="141"/>
      <c r="C36" s="142"/>
      <c r="D36" s="143"/>
      <c r="E36" s="143"/>
      <c r="F36" s="143"/>
      <c r="G36" s="143"/>
      <c r="H36" s="144"/>
      <c r="I36" s="145"/>
      <c r="J36" s="145"/>
      <c r="K36" s="143"/>
      <c r="L36" s="146"/>
    </row>
    <row r="37" spans="1:12" ht="15.6" customHeight="1" thickTop="1" x14ac:dyDescent="0.3">
      <c r="H37"/>
      <c r="I37"/>
      <c r="J37" s="150" t="s">
        <v>42</v>
      </c>
      <c r="K37" s="151"/>
      <c r="L37" s="152">
        <f>SUM(L6:INDEX(L:L,ROW()-1))</f>
        <v>197580.24799999999</v>
      </c>
    </row>
    <row r="38" spans="1:12" ht="15.6" customHeight="1" x14ac:dyDescent="0.3">
      <c r="H38"/>
      <c r="I38"/>
      <c r="J38" s="153" t="s">
        <v>43</v>
      </c>
      <c r="K38" s="154"/>
      <c r="L38" s="155">
        <f>$L$37*0.18</f>
        <v>35564.444639999994</v>
      </c>
    </row>
    <row r="39" spans="1:12" ht="15.6" customHeight="1" x14ac:dyDescent="0.3">
      <c r="H39"/>
      <c r="I39"/>
      <c r="J39" s="153" t="s">
        <v>44</v>
      </c>
      <c r="K39" s="154"/>
      <c r="L39" s="155">
        <f>$L$37+$L$38</f>
        <v>233144.69263999999</v>
      </c>
    </row>
    <row r="40" spans="1:12" ht="15.6" customHeight="1" x14ac:dyDescent="0.3">
      <c r="H40"/>
      <c r="I40"/>
      <c r="J40" s="153" t="s">
        <v>45</v>
      </c>
      <c r="K40" s="154"/>
      <c r="L40" s="155">
        <f>$L$39*0.01</f>
        <v>2331.4469263999999</v>
      </c>
    </row>
    <row r="41" spans="1:12" ht="15.6" customHeight="1" thickBot="1" x14ac:dyDescent="0.35">
      <c r="H41"/>
      <c r="I41"/>
      <c r="J41" s="156" t="s">
        <v>46</v>
      </c>
      <c r="K41" s="157"/>
      <c r="L41" s="158">
        <f>$L$39+$L$40</f>
        <v>235476.1395664</v>
      </c>
    </row>
    <row r="42" spans="1:12" ht="15.6" customHeight="1" thickTop="1" x14ac:dyDescent="0.3">
      <c r="H42"/>
      <c r="I42"/>
      <c r="J42" s="159" t="s">
        <v>47</v>
      </c>
      <c r="K42" s="160"/>
      <c r="L42" s="161"/>
    </row>
    <row r="43" spans="1:12" ht="36" x14ac:dyDescent="0.3">
      <c r="H43"/>
      <c r="I43" s="162" t="s">
        <v>48</v>
      </c>
      <c r="J43" s="163" t="str">
        <f>IF(L41&gt;=10000000,ROUND(L41/10000000,2)&amp;" Crore",IF(L41&gt;=100000,ROUND(L41/100000,2)&amp;" Lakh",IF(L41&gt;=1000,ROUND(L41/1000,2)&amp;" Thousand",ROUND(L41,0)))) &amp; " Only"</f>
        <v>2.35 Lakh Only</v>
      </c>
      <c r="K43" s="164"/>
      <c r="L43" s="164"/>
    </row>
    <row r="44" spans="1:12" ht="15.6" customHeight="1" x14ac:dyDescent="0.3"/>
    <row r="45" spans="1:12" ht="15.6" customHeight="1" x14ac:dyDescent="0.3"/>
    <row r="46" spans="1:12" ht="15.6" customHeight="1" x14ac:dyDescent="0.3"/>
    <row r="47" spans="1:12" ht="15.6" customHeight="1" x14ac:dyDescent="0.3"/>
    <row r="48" spans="1:12" ht="15.6" customHeight="1" x14ac:dyDescent="0.3"/>
    <row r="49" spans="5:13" ht="15.6" customHeight="1" x14ac:dyDescent="0.3"/>
    <row r="50" spans="5:13" ht="15.6" customHeight="1" x14ac:dyDescent="0.3"/>
    <row r="51" spans="5:13" ht="15.6" customHeight="1" x14ac:dyDescent="0.3"/>
    <row r="52" spans="5:13" ht="15.6" customHeight="1" x14ac:dyDescent="0.3"/>
    <row r="53" spans="5:13" ht="15.6" customHeight="1" x14ac:dyDescent="0.3"/>
    <row r="54" spans="5:13" ht="15.6" customHeight="1" thickBot="1" x14ac:dyDescent="0.35"/>
    <row r="55" spans="5:13" ht="34.799999999999997" x14ac:dyDescent="0.3">
      <c r="E55"/>
      <c r="F55" s="168" t="s">
        <v>49</v>
      </c>
      <c r="G55" s="169"/>
      <c r="H55" s="170" t="s">
        <v>8</v>
      </c>
      <c r="I55" s="171" t="s">
        <v>9</v>
      </c>
      <c r="J55" s="171" t="s">
        <v>11</v>
      </c>
      <c r="K55" s="171" t="s">
        <v>50</v>
      </c>
      <c r="L55" s="171" t="s">
        <v>12</v>
      </c>
      <c r="M55" s="172" t="s">
        <v>51</v>
      </c>
    </row>
    <row r="56" spans="5:13" ht="15" customHeight="1" x14ac:dyDescent="0.3">
      <c r="E56" s="173"/>
      <c r="F56" s="174" t="s">
        <v>52</v>
      </c>
      <c r="G56" s="175"/>
      <c r="H56" s="176">
        <f>ROUND(((H25)*1.25)+((H35)*0.295),2)</f>
        <v>3.02</v>
      </c>
      <c r="I56" s="177" t="s">
        <v>53</v>
      </c>
      <c r="J56" s="178">
        <v>273.44</v>
      </c>
      <c r="K56" s="179">
        <v>0.28000000000000003</v>
      </c>
      <c r="L56" s="180">
        <f t="shared" ref="L56:L64" si="0">ROUND(H56*J56,0)</f>
        <v>826</v>
      </c>
      <c r="M56" s="181">
        <f t="shared" ref="M56:M64" si="1">ROUND(L56*(1+K56),0)</f>
        <v>1057</v>
      </c>
    </row>
    <row r="57" spans="5:13" ht="15" customHeight="1" x14ac:dyDescent="0.3">
      <c r="E57" s="182"/>
      <c r="F57" s="183" t="s">
        <v>54</v>
      </c>
      <c r="G57" s="184"/>
      <c r="H57" s="185">
        <f>ROUND(((H15)*3.534),2)</f>
        <v>132.94</v>
      </c>
      <c r="I57" s="186" t="s">
        <v>55</v>
      </c>
      <c r="J57" s="187">
        <v>20</v>
      </c>
      <c r="K57" s="188">
        <v>0.05</v>
      </c>
      <c r="L57" s="189">
        <f t="shared" si="0"/>
        <v>2659</v>
      </c>
      <c r="M57" s="190">
        <f t="shared" si="1"/>
        <v>2792</v>
      </c>
    </row>
    <row r="58" spans="5:13" ht="15" customHeight="1" x14ac:dyDescent="0.3">
      <c r="E58" s="182"/>
      <c r="F58" s="191" t="s">
        <v>56</v>
      </c>
      <c r="G58" s="192"/>
      <c r="H58" s="193">
        <f>ROUND(((H20)*1.135),2)</f>
        <v>240.41</v>
      </c>
      <c r="I58" s="194" t="s">
        <v>55</v>
      </c>
      <c r="J58" s="195">
        <v>39.5</v>
      </c>
      <c r="K58" s="196">
        <v>0.05</v>
      </c>
      <c r="L58" s="197">
        <f t="shared" si="0"/>
        <v>9496</v>
      </c>
      <c r="M58" s="198">
        <f t="shared" si="1"/>
        <v>9971</v>
      </c>
    </row>
    <row r="59" spans="5:13" ht="15" customHeight="1" x14ac:dyDescent="0.3">
      <c r="E59" s="182"/>
      <c r="F59" s="199" t="s">
        <v>57</v>
      </c>
      <c r="G59" s="200"/>
      <c r="H59" s="201">
        <f>ROUND(((H25)*9.452)+((H35)*0.629),2)</f>
        <v>17.239999999999998</v>
      </c>
      <c r="I59" s="202" t="s">
        <v>55</v>
      </c>
      <c r="J59" s="203">
        <v>48</v>
      </c>
      <c r="K59" s="204">
        <v>0.05</v>
      </c>
      <c r="L59" s="205">
        <f t="shared" si="0"/>
        <v>828</v>
      </c>
      <c r="M59" s="206">
        <f t="shared" si="1"/>
        <v>869</v>
      </c>
    </row>
    <row r="60" spans="5:13" ht="30" customHeight="1" x14ac:dyDescent="0.3">
      <c r="E60" s="182"/>
      <c r="F60" s="207" t="s">
        <v>58</v>
      </c>
      <c r="G60" s="208"/>
      <c r="H60" s="209">
        <f>ROUND(((H35)*0.314),2)</f>
        <v>1.0900000000000001</v>
      </c>
      <c r="I60" s="210" t="s">
        <v>55</v>
      </c>
      <c r="J60" s="211">
        <v>46</v>
      </c>
      <c r="K60" s="212">
        <v>0.05</v>
      </c>
      <c r="L60" s="213">
        <f t="shared" si="0"/>
        <v>50</v>
      </c>
      <c r="M60" s="214">
        <f t="shared" si="1"/>
        <v>53</v>
      </c>
    </row>
    <row r="61" spans="5:13" ht="30" customHeight="1" x14ac:dyDescent="0.3">
      <c r="E61" s="215" t="s">
        <v>59</v>
      </c>
      <c r="F61" s="216" t="s">
        <v>60</v>
      </c>
      <c r="G61" s="217"/>
      <c r="H61" s="218">
        <f>ROUND(((H15)*35.336),2)</f>
        <v>1329.23</v>
      </c>
      <c r="I61" s="219" t="s">
        <v>55</v>
      </c>
      <c r="J61" s="220">
        <v>39</v>
      </c>
      <c r="K61" s="221">
        <v>0.05</v>
      </c>
      <c r="L61" s="222">
        <f t="shared" si="0"/>
        <v>51840</v>
      </c>
      <c r="M61" s="223">
        <f t="shared" si="1"/>
        <v>54432</v>
      </c>
    </row>
    <row r="62" spans="5:13" ht="30" customHeight="1" x14ac:dyDescent="0.3">
      <c r="E62" s="182"/>
      <c r="F62" s="174" t="s">
        <v>61</v>
      </c>
      <c r="G62" s="175"/>
      <c r="H62" s="176">
        <f>ROUND(((H35)*1.014),2)</f>
        <v>3.53</v>
      </c>
      <c r="I62" s="177" t="s">
        <v>55</v>
      </c>
      <c r="J62" s="178">
        <v>45</v>
      </c>
      <c r="K62" s="179">
        <v>0.05</v>
      </c>
      <c r="L62" s="180">
        <f t="shared" si="0"/>
        <v>159</v>
      </c>
      <c r="M62" s="181">
        <f t="shared" si="1"/>
        <v>167</v>
      </c>
    </row>
    <row r="63" spans="5:13" ht="15" customHeight="1" x14ac:dyDescent="0.3">
      <c r="E63" s="182"/>
      <c r="F63" s="183" t="s">
        <v>62</v>
      </c>
      <c r="G63" s="184"/>
      <c r="H63" s="185">
        <f>ROUND(((H20)*35),2)</f>
        <v>7413.42</v>
      </c>
      <c r="I63" s="186" t="s">
        <v>4</v>
      </c>
      <c r="J63" s="187">
        <v>11</v>
      </c>
      <c r="K63" s="188">
        <v>0.18</v>
      </c>
      <c r="L63" s="189">
        <f t="shared" si="0"/>
        <v>81548</v>
      </c>
      <c r="M63" s="190">
        <f t="shared" si="1"/>
        <v>96227</v>
      </c>
    </row>
    <row r="64" spans="5:13" ht="30" customHeight="1" x14ac:dyDescent="0.3">
      <c r="E64" s="224"/>
      <c r="F64" s="191" t="s">
        <v>63</v>
      </c>
      <c r="G64" s="192"/>
      <c r="H64" s="225">
        <f>ROUND(((H25)*480),2)</f>
        <v>764.16</v>
      </c>
      <c r="I64" s="194" t="s">
        <v>4</v>
      </c>
      <c r="J64" s="195">
        <v>7.7</v>
      </c>
      <c r="K64" s="196">
        <v>0.12</v>
      </c>
      <c r="L64" s="197">
        <f t="shared" si="0"/>
        <v>5884</v>
      </c>
      <c r="M64" s="198">
        <f t="shared" si="1"/>
        <v>6590</v>
      </c>
    </row>
    <row r="65" spans="5:13" ht="17.399999999999999" x14ac:dyDescent="0.3">
      <c r="E65"/>
      <c r="F65" s="226" t="s">
        <v>64</v>
      </c>
      <c r="G65" s="227"/>
      <c r="H65" s="227"/>
      <c r="I65" s="227"/>
      <c r="J65" s="227"/>
      <c r="K65" s="227"/>
      <c r="L65" s="228">
        <f>ROUND(SUM(L$56:INDEX(L:L,ROW()-1)),0)</f>
        <v>153290</v>
      </c>
      <c r="M65" s="229">
        <f>ROUND(SUM(M$56:INDEX(M:M,ROW()-1)),0)</f>
        <v>172158</v>
      </c>
    </row>
    <row r="66" spans="5:13" ht="18" x14ac:dyDescent="0.3">
      <c r="E66"/>
      <c r="F66" s="230" t="s">
        <v>65</v>
      </c>
      <c r="G66" s="231"/>
      <c r="H66" s="231"/>
      <c r="I66" s="231"/>
      <c r="J66" s="231"/>
      <c r="K66" s="231"/>
      <c r="L66" s="232">
        <f>ROUND(L37,0)</f>
        <v>197580</v>
      </c>
      <c r="M66" s="233">
        <f>ROUND(L39,0)</f>
        <v>233145</v>
      </c>
    </row>
    <row r="67" spans="5:13" ht="18" thickBot="1" x14ac:dyDescent="0.35">
      <c r="E67"/>
      <c r="F67" s="234" t="s">
        <v>66</v>
      </c>
      <c r="G67" s="235"/>
      <c r="H67" s="235"/>
      <c r="I67" s="235"/>
      <c r="J67" s="235"/>
      <c r="K67" s="235"/>
      <c r="L67" s="236">
        <f>ROUND(SUM(L$65:INDEX(L:L,ROW()-1)),0)</f>
        <v>350870</v>
      </c>
      <c r="M67" s="237">
        <f>ROUND(SUM(M$65:INDEX(M:M,ROW()-1)),0)</f>
        <v>405303</v>
      </c>
    </row>
    <row r="68" spans="5:13" ht="18" x14ac:dyDescent="0.3">
      <c r="E68"/>
      <c r="F68" s="238"/>
      <c r="G68" s="238"/>
      <c r="H68" s="238"/>
      <c r="I68" s="239" t="s">
        <v>67</v>
      </c>
      <c r="J68" s="239"/>
      <c r="K68" s="239"/>
      <c r="L68" s="163" t="str">
        <f>IF(M67&gt;=10000000,ROUND(M67/10000000,2)&amp;" Crore",IF(M67&gt;=100000,ROUND(M67/100000,2)&amp;" Lakh",IF(M67&gt;=1000,ROUND(M67/1000,2)&amp;" Thousand",ROUND(M67,0)))) &amp; " Only"</f>
        <v>4.05 Lakh Only</v>
      </c>
      <c r="M68" s="163"/>
    </row>
    <row r="69" spans="5:13" ht="15.6" customHeight="1" x14ac:dyDescent="0.3">
      <c r="E69"/>
      <c r="F69"/>
      <c r="G69"/>
      <c r="H69"/>
      <c r="I69"/>
      <c r="J69"/>
      <c r="K69"/>
      <c r="L69"/>
      <c r="M69"/>
    </row>
    <row r="70" spans="5:13" ht="15.6" hidden="1" customHeight="1" x14ac:dyDescent="0.3">
      <c r="E70"/>
      <c r="F70"/>
      <c r="G70"/>
      <c r="H70"/>
      <c r="I70"/>
      <c r="J70"/>
      <c r="K70"/>
      <c r="L70"/>
      <c r="M70"/>
    </row>
    <row r="71" spans="5:13" ht="15.6" hidden="1" customHeight="1" x14ac:dyDescent="0.3">
      <c r="E71"/>
      <c r="F71"/>
      <c r="G71"/>
      <c r="H71"/>
      <c r="I71"/>
      <c r="J71"/>
      <c r="K71"/>
      <c r="L71"/>
      <c r="M71"/>
    </row>
    <row r="72" spans="5:13" ht="15.6" hidden="1" customHeight="1" x14ac:dyDescent="0.3">
      <c r="E72"/>
      <c r="F72"/>
      <c r="G72"/>
      <c r="H72"/>
      <c r="I72"/>
      <c r="J72"/>
      <c r="K72"/>
      <c r="L72"/>
      <c r="M72"/>
    </row>
    <row r="73" spans="5:13" ht="15.6" hidden="1" customHeight="1" x14ac:dyDescent="0.3">
      <c r="E73"/>
      <c r="F73"/>
      <c r="G73"/>
      <c r="H73"/>
      <c r="I73"/>
      <c r="J73"/>
      <c r="K73"/>
      <c r="L73"/>
      <c r="M73"/>
    </row>
    <row r="74" spans="5:13" ht="15.6" hidden="1" customHeight="1" x14ac:dyDescent="0.3">
      <c r="E74"/>
      <c r="F74"/>
      <c r="G74"/>
      <c r="H74"/>
      <c r="I74"/>
      <c r="J74"/>
      <c r="K74"/>
      <c r="L74"/>
      <c r="M74"/>
    </row>
    <row r="75" spans="5:13" ht="15.6" hidden="1" customHeight="1" x14ac:dyDescent="0.3">
      <c r="E75"/>
      <c r="F75"/>
      <c r="G75"/>
      <c r="H75"/>
      <c r="I75"/>
      <c r="J75"/>
      <c r="K75"/>
      <c r="L75"/>
      <c r="M75"/>
    </row>
    <row r="76" spans="5:13" ht="15.6" hidden="1" customHeight="1" x14ac:dyDescent="0.3">
      <c r="E76"/>
      <c r="F76"/>
      <c r="G76"/>
      <c r="H76"/>
      <c r="I76"/>
      <c r="J76"/>
      <c r="K76"/>
      <c r="L76"/>
      <c r="M76"/>
    </row>
    <row r="77" spans="5:13" ht="15.6" hidden="1" customHeight="1" x14ac:dyDescent="0.3">
      <c r="E77"/>
      <c r="F77"/>
      <c r="G77"/>
      <c r="H77"/>
      <c r="I77"/>
      <c r="J77"/>
      <c r="K77"/>
      <c r="L77"/>
      <c r="M77"/>
    </row>
    <row r="78" spans="5:13" ht="15.6" hidden="1" customHeight="1" x14ac:dyDescent="0.3">
      <c r="E78"/>
      <c r="F78"/>
      <c r="G78"/>
      <c r="H78"/>
      <c r="I78"/>
      <c r="J78"/>
      <c r="K78"/>
      <c r="L78"/>
      <c r="M78"/>
    </row>
    <row r="79" spans="5:13" ht="15.6" hidden="1" customHeight="1" x14ac:dyDescent="0.3">
      <c r="E79"/>
      <c r="F79"/>
      <c r="G79"/>
      <c r="H79"/>
      <c r="I79"/>
      <c r="J79"/>
      <c r="K79"/>
      <c r="L79"/>
      <c r="M79"/>
    </row>
    <row r="80" spans="5:13" ht="15.6" hidden="1" customHeight="1" x14ac:dyDescent="0.3">
      <c r="E80"/>
      <c r="F80"/>
      <c r="G80"/>
      <c r="H80"/>
      <c r="I80"/>
      <c r="J80"/>
      <c r="K80"/>
      <c r="L80"/>
      <c r="M80"/>
    </row>
    <row r="81" spans="5:13" ht="15.6" hidden="1" customHeight="1" x14ac:dyDescent="0.3">
      <c r="E81"/>
      <c r="F81"/>
      <c r="G81"/>
      <c r="H81"/>
      <c r="I81"/>
      <c r="J81"/>
      <c r="K81"/>
      <c r="L81"/>
      <c r="M81"/>
    </row>
    <row r="82" spans="5:13" ht="15.6" hidden="1" customHeight="1" x14ac:dyDescent="0.3">
      <c r="E82"/>
      <c r="F82"/>
      <c r="G82"/>
      <c r="H82"/>
      <c r="I82"/>
      <c r="J82"/>
      <c r="K82"/>
      <c r="L82"/>
      <c r="M82"/>
    </row>
    <row r="83" spans="5:13" ht="15.6" hidden="1" customHeight="1" x14ac:dyDescent="0.3">
      <c r="E83"/>
      <c r="F83"/>
      <c r="G83"/>
      <c r="H83"/>
      <c r="I83"/>
      <c r="J83"/>
      <c r="K83"/>
      <c r="L83"/>
      <c r="M83"/>
    </row>
    <row r="84" spans="5:13" ht="15.6" hidden="1" customHeight="1" x14ac:dyDescent="0.3">
      <c r="E84"/>
      <c r="F84"/>
      <c r="G84"/>
      <c r="H84"/>
      <c r="I84"/>
      <c r="J84"/>
      <c r="K84"/>
      <c r="L84"/>
      <c r="M84"/>
    </row>
    <row r="85" spans="5:13" ht="15.6" hidden="1" customHeight="1" x14ac:dyDescent="0.3">
      <c r="E85"/>
      <c r="F85"/>
      <c r="G85"/>
      <c r="H85"/>
      <c r="I85"/>
      <c r="J85"/>
      <c r="K85"/>
      <c r="L85"/>
      <c r="M85"/>
    </row>
    <row r="86" spans="5:13" ht="15.6" hidden="1" customHeight="1" x14ac:dyDescent="0.3">
      <c r="E86"/>
      <c r="F86"/>
      <c r="G86"/>
      <c r="H86"/>
      <c r="I86"/>
      <c r="J86"/>
      <c r="K86"/>
      <c r="L86"/>
      <c r="M86"/>
    </row>
    <row r="87" spans="5:13" ht="15.6" hidden="1" customHeight="1" x14ac:dyDescent="0.3">
      <c r="E87"/>
      <c r="F87"/>
      <c r="G87"/>
      <c r="H87"/>
      <c r="I87"/>
      <c r="J87"/>
      <c r="K87"/>
      <c r="L87"/>
      <c r="M87"/>
    </row>
    <row r="88" spans="5:13" ht="15.6" hidden="1" customHeight="1" x14ac:dyDescent="0.3">
      <c r="E88"/>
      <c r="F88"/>
      <c r="G88"/>
      <c r="H88"/>
      <c r="I88"/>
      <c r="J88"/>
      <c r="K88"/>
      <c r="L88"/>
      <c r="M88"/>
    </row>
    <row r="89" spans="5:13" ht="15.6" hidden="1" customHeight="1" x14ac:dyDescent="0.3">
      <c r="E89"/>
      <c r="F89"/>
      <c r="G89"/>
      <c r="H89"/>
      <c r="I89"/>
      <c r="J89"/>
      <c r="K89"/>
      <c r="L89"/>
      <c r="M89"/>
    </row>
    <row r="90" spans="5:13" ht="15.6" hidden="1" customHeight="1" x14ac:dyDescent="0.3">
      <c r="E90"/>
      <c r="F90"/>
      <c r="G90"/>
      <c r="H90"/>
      <c r="I90"/>
      <c r="J90"/>
      <c r="K90"/>
      <c r="L90"/>
      <c r="M90"/>
    </row>
    <row r="91" spans="5:13" ht="15.6" hidden="1" customHeight="1" x14ac:dyDescent="0.3">
      <c r="E91"/>
      <c r="F91"/>
      <c r="G91"/>
      <c r="H91"/>
      <c r="I91"/>
      <c r="J91"/>
      <c r="K91"/>
      <c r="L91"/>
      <c r="M91"/>
    </row>
    <row r="92" spans="5:13" ht="15.6" hidden="1" customHeight="1" x14ac:dyDescent="0.3">
      <c r="E92"/>
      <c r="F92"/>
      <c r="G92"/>
      <c r="H92"/>
      <c r="I92"/>
      <c r="J92"/>
      <c r="K92"/>
      <c r="L92"/>
      <c r="M92"/>
    </row>
    <row r="93" spans="5:13" ht="15.6" hidden="1" customHeight="1" x14ac:dyDescent="0.3">
      <c r="E93"/>
      <c r="F93"/>
      <c r="G93"/>
      <c r="H93"/>
      <c r="I93"/>
      <c r="J93"/>
      <c r="K93"/>
      <c r="L93"/>
      <c r="M93"/>
    </row>
    <row r="94" spans="5:13" ht="15.6" hidden="1" customHeight="1" x14ac:dyDescent="0.3">
      <c r="E94"/>
      <c r="F94"/>
      <c r="G94"/>
      <c r="H94"/>
      <c r="I94"/>
      <c r="J94"/>
      <c r="K94"/>
      <c r="L94"/>
      <c r="M94"/>
    </row>
    <row r="95" spans="5:13" ht="15.6" hidden="1" customHeight="1" x14ac:dyDescent="0.3">
      <c r="E95"/>
      <c r="F95"/>
      <c r="G95"/>
      <c r="H95"/>
      <c r="I95"/>
      <c r="J95"/>
      <c r="K95"/>
      <c r="L95"/>
      <c r="M95"/>
    </row>
    <row r="96" spans="5:13" ht="15.6" hidden="1" customHeight="1" x14ac:dyDescent="0.3">
      <c r="E96"/>
      <c r="F96"/>
      <c r="G96"/>
      <c r="H96"/>
      <c r="I96"/>
      <c r="J96"/>
      <c r="K96"/>
      <c r="L96"/>
      <c r="M96"/>
    </row>
    <row r="97" spans="5:13" ht="15.6" hidden="1" customHeight="1" x14ac:dyDescent="0.3">
      <c r="E97"/>
      <c r="F97"/>
      <c r="G97"/>
      <c r="H97"/>
      <c r="I97"/>
      <c r="J97"/>
      <c r="K97"/>
      <c r="L97"/>
      <c r="M97"/>
    </row>
    <row r="98" spans="5:13" ht="15.6" hidden="1" customHeight="1" x14ac:dyDescent="0.3">
      <c r="E98"/>
      <c r="F98"/>
      <c r="G98"/>
      <c r="H98"/>
      <c r="I98"/>
      <c r="J98"/>
      <c r="K98"/>
      <c r="L98"/>
      <c r="M98"/>
    </row>
    <row r="99" spans="5:13" ht="15.6" hidden="1" customHeight="1" x14ac:dyDescent="0.3">
      <c r="E99"/>
      <c r="F99"/>
      <c r="G99"/>
      <c r="H99"/>
      <c r="I99"/>
      <c r="J99"/>
      <c r="K99"/>
      <c r="L99"/>
      <c r="M99"/>
    </row>
    <row r="100" spans="5:13" ht="15.6" hidden="1" customHeight="1" x14ac:dyDescent="0.3">
      <c r="E100"/>
      <c r="F100"/>
      <c r="G100"/>
      <c r="H100"/>
      <c r="I100"/>
      <c r="J100"/>
      <c r="K100"/>
      <c r="L100"/>
      <c r="M100"/>
    </row>
    <row r="101" spans="5:13" ht="15.6" hidden="1" customHeight="1" x14ac:dyDescent="0.3">
      <c r="E101"/>
      <c r="F101"/>
      <c r="G101"/>
      <c r="H101"/>
      <c r="I101"/>
      <c r="J101"/>
      <c r="K101"/>
      <c r="L101"/>
      <c r="M101"/>
    </row>
    <row r="102" spans="5:13" ht="15.6" hidden="1" customHeight="1" x14ac:dyDescent="0.3">
      <c r="E102"/>
      <c r="F102"/>
      <c r="G102"/>
      <c r="H102"/>
      <c r="I102"/>
      <c r="J102"/>
      <c r="K102"/>
      <c r="L102"/>
      <c r="M102"/>
    </row>
    <row r="103" spans="5:13" ht="15.6" hidden="1" customHeight="1" x14ac:dyDescent="0.3">
      <c r="E103"/>
      <c r="F103"/>
      <c r="G103"/>
      <c r="H103"/>
      <c r="I103"/>
      <c r="J103"/>
      <c r="K103"/>
      <c r="L103"/>
      <c r="M103"/>
    </row>
    <row r="104" spans="5:13" ht="15.6" hidden="1" customHeight="1" x14ac:dyDescent="0.3">
      <c r="E104"/>
      <c r="F104"/>
      <c r="G104"/>
      <c r="H104"/>
      <c r="I104"/>
      <c r="J104"/>
      <c r="K104"/>
      <c r="L104"/>
      <c r="M104"/>
    </row>
    <row r="105" spans="5:13" ht="15.6" hidden="1" customHeight="1" x14ac:dyDescent="0.3">
      <c r="E105"/>
      <c r="F105"/>
      <c r="G105"/>
      <c r="H105"/>
      <c r="I105"/>
      <c r="J105"/>
      <c r="K105"/>
      <c r="L105"/>
      <c r="M105"/>
    </row>
    <row r="106" spans="5:13" ht="15.6" hidden="1" customHeight="1" x14ac:dyDescent="0.3">
      <c r="E106"/>
      <c r="F106"/>
      <c r="G106"/>
      <c r="H106"/>
      <c r="I106"/>
      <c r="J106"/>
      <c r="K106"/>
      <c r="L106"/>
      <c r="M106"/>
    </row>
    <row r="107" spans="5:13" ht="15.6" hidden="1" customHeight="1" x14ac:dyDescent="0.3">
      <c r="E107"/>
      <c r="F107"/>
      <c r="G107"/>
      <c r="H107"/>
      <c r="I107"/>
      <c r="J107"/>
      <c r="K107"/>
      <c r="L107"/>
      <c r="M107"/>
    </row>
    <row r="108" spans="5:13" ht="15.6" hidden="1" customHeight="1" x14ac:dyDescent="0.3">
      <c r="E108"/>
      <c r="F108"/>
      <c r="G108"/>
      <c r="H108"/>
      <c r="I108"/>
      <c r="J108"/>
      <c r="K108"/>
      <c r="L108"/>
      <c r="M108"/>
    </row>
    <row r="109" spans="5:13" ht="15.6" hidden="1" customHeight="1" x14ac:dyDescent="0.3">
      <c r="E109"/>
      <c r="F109"/>
      <c r="G109"/>
      <c r="H109"/>
      <c r="I109"/>
      <c r="J109"/>
      <c r="K109"/>
      <c r="L109"/>
      <c r="M109"/>
    </row>
    <row r="110" spans="5:13" ht="15.6" hidden="1" customHeight="1" x14ac:dyDescent="0.3">
      <c r="E110"/>
      <c r="F110"/>
      <c r="G110"/>
      <c r="H110"/>
      <c r="I110"/>
      <c r="J110"/>
      <c r="K110"/>
      <c r="L110"/>
      <c r="M110"/>
    </row>
    <row r="111" spans="5:13" ht="15.6" hidden="1" customHeight="1" x14ac:dyDescent="0.3">
      <c r="E111"/>
      <c r="F111"/>
      <c r="G111"/>
      <c r="H111"/>
      <c r="I111"/>
      <c r="J111"/>
      <c r="K111"/>
      <c r="L111"/>
      <c r="M111"/>
    </row>
    <row r="112" spans="5:13" ht="15.6" hidden="1" customHeight="1" x14ac:dyDescent="0.3">
      <c r="E112"/>
      <c r="F112"/>
      <c r="G112"/>
      <c r="H112"/>
      <c r="I112"/>
      <c r="J112"/>
      <c r="K112"/>
      <c r="L112"/>
      <c r="M112"/>
    </row>
    <row r="113" spans="5:13" ht="15.6" hidden="1" customHeight="1" x14ac:dyDescent="0.3">
      <c r="E113"/>
      <c r="F113"/>
      <c r="G113"/>
      <c r="H113"/>
      <c r="I113"/>
      <c r="J113"/>
      <c r="K113"/>
      <c r="L113"/>
      <c r="M113"/>
    </row>
    <row r="114" spans="5:13" ht="15.6" hidden="1" customHeight="1" x14ac:dyDescent="0.3">
      <c r="E114"/>
      <c r="F114"/>
      <c r="G114"/>
      <c r="H114"/>
      <c r="I114"/>
      <c r="J114"/>
      <c r="K114"/>
      <c r="L114"/>
      <c r="M114"/>
    </row>
    <row r="115" spans="5:13" ht="15.6" hidden="1" customHeight="1" x14ac:dyDescent="0.3">
      <c r="E115"/>
      <c r="F115"/>
      <c r="G115"/>
      <c r="H115"/>
      <c r="I115"/>
      <c r="J115"/>
      <c r="K115"/>
      <c r="L115"/>
      <c r="M115"/>
    </row>
    <row r="116" spans="5:13" ht="15.6" hidden="1" customHeight="1" x14ac:dyDescent="0.3">
      <c r="E116"/>
      <c r="F116"/>
      <c r="G116"/>
      <c r="H116"/>
      <c r="I116"/>
      <c r="J116"/>
      <c r="K116"/>
      <c r="L116"/>
      <c r="M116"/>
    </row>
    <row r="117" spans="5:13" ht="15.6" hidden="1" customHeight="1" x14ac:dyDescent="0.3">
      <c r="E117"/>
      <c r="F117"/>
      <c r="G117"/>
      <c r="H117"/>
      <c r="I117"/>
      <c r="J117"/>
      <c r="K117"/>
      <c r="L117"/>
      <c r="M117"/>
    </row>
    <row r="118" spans="5:13" ht="15.6" hidden="1" customHeight="1" x14ac:dyDescent="0.3">
      <c r="E118"/>
      <c r="F118"/>
      <c r="G118"/>
      <c r="H118"/>
      <c r="I118"/>
      <c r="J118"/>
      <c r="K118"/>
      <c r="L118"/>
      <c r="M118"/>
    </row>
    <row r="119" spans="5:13" ht="15.6" hidden="1" customHeight="1" x14ac:dyDescent="0.3">
      <c r="E119"/>
      <c r="F119"/>
      <c r="G119"/>
      <c r="H119"/>
      <c r="I119"/>
      <c r="J119"/>
      <c r="K119"/>
      <c r="L119"/>
      <c r="M119"/>
    </row>
    <row r="120" spans="5:13" ht="15.6" hidden="1" customHeight="1" x14ac:dyDescent="0.3">
      <c r="E120"/>
      <c r="F120"/>
      <c r="G120"/>
      <c r="H120"/>
      <c r="I120"/>
      <c r="J120"/>
      <c r="K120"/>
      <c r="L120"/>
      <c r="M120"/>
    </row>
    <row r="121" spans="5:13" ht="15.6" hidden="1" customHeight="1" x14ac:dyDescent="0.3">
      <c r="E121"/>
      <c r="F121"/>
      <c r="G121"/>
      <c r="H121"/>
      <c r="I121"/>
      <c r="J121"/>
      <c r="K121"/>
      <c r="L121"/>
      <c r="M121"/>
    </row>
    <row r="122" spans="5:13" ht="15.6" hidden="1" customHeight="1" x14ac:dyDescent="0.3">
      <c r="E122"/>
      <c r="F122"/>
      <c r="G122"/>
      <c r="H122"/>
      <c r="I122"/>
      <c r="J122"/>
      <c r="K122"/>
      <c r="L122"/>
      <c r="M122"/>
    </row>
    <row r="123" spans="5:13" ht="15.6" hidden="1" customHeight="1" x14ac:dyDescent="0.3">
      <c r="E123"/>
      <c r="F123"/>
      <c r="G123"/>
      <c r="H123"/>
      <c r="I123"/>
      <c r="J123"/>
      <c r="K123"/>
      <c r="L123"/>
      <c r="M123"/>
    </row>
    <row r="124" spans="5:13" ht="15.6" hidden="1" customHeight="1" x14ac:dyDescent="0.3">
      <c r="E124"/>
      <c r="F124"/>
      <c r="G124"/>
      <c r="H124"/>
      <c r="I124"/>
      <c r="J124"/>
      <c r="K124"/>
      <c r="L124"/>
      <c r="M124"/>
    </row>
    <row r="125" spans="5:13" ht="15.6" hidden="1" customHeight="1" x14ac:dyDescent="0.3">
      <c r="E125"/>
      <c r="F125"/>
      <c r="G125"/>
      <c r="H125"/>
      <c r="I125"/>
      <c r="J125"/>
      <c r="K125"/>
      <c r="L125"/>
      <c r="M125"/>
    </row>
    <row r="126" spans="5:13" ht="15.6" hidden="1" customHeight="1" x14ac:dyDescent="0.3">
      <c r="E126"/>
      <c r="F126"/>
      <c r="G126"/>
      <c r="H126"/>
      <c r="I126"/>
      <c r="J126"/>
      <c r="K126"/>
      <c r="L126"/>
      <c r="M126"/>
    </row>
    <row r="127" spans="5:13" ht="15.6" hidden="1" customHeight="1" x14ac:dyDescent="0.3">
      <c r="E127"/>
      <c r="F127"/>
      <c r="G127"/>
      <c r="H127"/>
      <c r="I127"/>
      <c r="J127"/>
      <c r="K127"/>
      <c r="L127"/>
      <c r="M127"/>
    </row>
    <row r="128" spans="5:13" ht="15.6" hidden="1" customHeight="1" x14ac:dyDescent="0.3">
      <c r="E128"/>
      <c r="F128"/>
      <c r="G128"/>
      <c r="H128"/>
      <c r="I128"/>
      <c r="J128"/>
      <c r="K128"/>
      <c r="L128"/>
      <c r="M128"/>
    </row>
    <row r="129" spans="5:13" ht="15.6" hidden="1" customHeight="1" x14ac:dyDescent="0.3">
      <c r="E129"/>
      <c r="F129"/>
      <c r="G129"/>
      <c r="H129"/>
      <c r="I129"/>
      <c r="J129"/>
      <c r="K129"/>
      <c r="L129"/>
      <c r="M129"/>
    </row>
    <row r="130" spans="5:13" ht="15.6" hidden="1" customHeight="1" x14ac:dyDescent="0.3">
      <c r="E130"/>
      <c r="F130"/>
      <c r="G130"/>
      <c r="H130"/>
      <c r="I130"/>
      <c r="J130"/>
      <c r="K130"/>
      <c r="L130"/>
      <c r="M130"/>
    </row>
    <row r="131" spans="5:13" ht="15.6" hidden="1" customHeight="1" x14ac:dyDescent="0.3">
      <c r="E131"/>
      <c r="F131"/>
      <c r="G131"/>
      <c r="H131"/>
      <c r="I131"/>
      <c r="J131"/>
      <c r="K131"/>
      <c r="L131"/>
      <c r="M131"/>
    </row>
    <row r="132" spans="5:13" ht="15.6" hidden="1" customHeight="1" x14ac:dyDescent="0.3">
      <c r="E132"/>
      <c r="F132"/>
      <c r="G132"/>
      <c r="H132"/>
      <c r="I132"/>
      <c r="J132"/>
      <c r="K132"/>
      <c r="L132"/>
      <c r="M132"/>
    </row>
    <row r="133" spans="5:13" ht="15.6" hidden="1" customHeight="1" x14ac:dyDescent="0.3">
      <c r="E133"/>
      <c r="F133"/>
      <c r="G133"/>
      <c r="H133"/>
      <c r="I133"/>
      <c r="J133"/>
      <c r="K133"/>
      <c r="L133"/>
      <c r="M133"/>
    </row>
    <row r="134" spans="5:13" ht="15.6" hidden="1" customHeight="1" x14ac:dyDescent="0.3">
      <c r="E134"/>
      <c r="F134"/>
      <c r="G134"/>
      <c r="H134"/>
      <c r="I134"/>
      <c r="J134"/>
      <c r="K134"/>
      <c r="L134"/>
      <c r="M134"/>
    </row>
    <row r="135" spans="5:13" ht="15.6" hidden="1" customHeight="1" x14ac:dyDescent="0.3">
      <c r="E135"/>
      <c r="F135"/>
      <c r="G135"/>
      <c r="H135"/>
      <c r="I135"/>
      <c r="J135"/>
      <c r="K135"/>
      <c r="L135"/>
      <c r="M135"/>
    </row>
    <row r="136" spans="5:13" ht="15.6" hidden="1" customHeight="1" x14ac:dyDescent="0.3">
      <c r="E136"/>
      <c r="F136"/>
      <c r="G136"/>
      <c r="H136"/>
      <c r="I136"/>
      <c r="J136"/>
      <c r="K136"/>
      <c r="L136"/>
      <c r="M136"/>
    </row>
    <row r="137" spans="5:13" ht="15.6" hidden="1" customHeight="1" x14ac:dyDescent="0.3">
      <c r="E137"/>
      <c r="F137"/>
      <c r="G137"/>
      <c r="H137"/>
      <c r="I137"/>
      <c r="J137"/>
      <c r="K137"/>
      <c r="L137"/>
      <c r="M137"/>
    </row>
    <row r="138" spans="5:13" ht="15.6" hidden="1" customHeight="1" x14ac:dyDescent="0.3">
      <c r="E138"/>
      <c r="F138"/>
      <c r="G138"/>
      <c r="H138"/>
      <c r="I138"/>
      <c r="J138"/>
      <c r="K138"/>
      <c r="L138"/>
      <c r="M138"/>
    </row>
    <row r="139" spans="5:13" ht="15.6" hidden="1" customHeight="1" x14ac:dyDescent="0.3">
      <c r="E139"/>
      <c r="F139"/>
      <c r="G139"/>
      <c r="H139"/>
      <c r="I139"/>
      <c r="J139"/>
      <c r="K139"/>
      <c r="L139"/>
      <c r="M139"/>
    </row>
    <row r="140" spans="5:13" ht="0" hidden="1" customHeight="1" x14ac:dyDescent="0.3">
      <c r="E140"/>
      <c r="F140"/>
      <c r="G140"/>
      <c r="H140"/>
      <c r="I140"/>
      <c r="J140"/>
      <c r="K140"/>
      <c r="L140"/>
      <c r="M140"/>
    </row>
    <row r="141" spans="5:13" ht="0" hidden="1" customHeight="1" x14ac:dyDescent="0.3">
      <c r="E141"/>
      <c r="F141"/>
      <c r="G141"/>
      <c r="H141"/>
      <c r="I141"/>
      <c r="J141"/>
      <c r="K141"/>
      <c r="L141"/>
      <c r="M141"/>
    </row>
    <row r="142" spans="5:13" ht="0" hidden="1" customHeight="1" x14ac:dyDescent="0.3">
      <c r="E142"/>
      <c r="F142"/>
      <c r="G142"/>
      <c r="H142"/>
      <c r="I142"/>
      <c r="J142"/>
      <c r="K142"/>
      <c r="L142"/>
      <c r="M142"/>
    </row>
    <row r="143" spans="5:13" ht="0" hidden="1" customHeight="1" x14ac:dyDescent="0.3">
      <c r="E143"/>
      <c r="F143"/>
      <c r="G143"/>
      <c r="H143"/>
      <c r="I143"/>
      <c r="J143"/>
      <c r="K143"/>
      <c r="L143"/>
      <c r="M143"/>
    </row>
    <row r="144" spans="5:13" ht="0" hidden="1" customHeight="1" x14ac:dyDescent="0.3">
      <c r="E144"/>
      <c r="F144"/>
      <c r="G144"/>
      <c r="H144"/>
      <c r="I144"/>
      <c r="J144"/>
      <c r="K144"/>
      <c r="L144"/>
      <c r="M144"/>
    </row>
    <row r="145" spans="5:13" ht="0" hidden="1" customHeight="1" x14ac:dyDescent="0.3">
      <c r="E145"/>
      <c r="F145"/>
      <c r="G145"/>
      <c r="H145"/>
      <c r="I145"/>
      <c r="J145"/>
      <c r="K145"/>
      <c r="L145"/>
      <c r="M145"/>
    </row>
    <row r="146" spans="5:13" ht="0" hidden="1" customHeight="1" x14ac:dyDescent="0.3">
      <c r="E146"/>
      <c r="F146"/>
      <c r="G146"/>
      <c r="H146"/>
      <c r="I146"/>
      <c r="J146"/>
      <c r="K146"/>
      <c r="L146"/>
      <c r="M146"/>
    </row>
    <row r="147" spans="5:13" ht="0" hidden="1" customHeight="1" x14ac:dyDescent="0.3">
      <c r="E147"/>
      <c r="F147"/>
      <c r="G147"/>
      <c r="H147"/>
      <c r="I147"/>
      <c r="J147"/>
      <c r="K147"/>
      <c r="L147"/>
      <c r="M147"/>
    </row>
    <row r="148" spans="5:13" ht="0" hidden="1" customHeight="1" x14ac:dyDescent="0.3">
      <c r="E148"/>
      <c r="F148"/>
      <c r="G148"/>
      <c r="H148"/>
      <c r="I148"/>
      <c r="J148"/>
      <c r="K148"/>
      <c r="L148"/>
      <c r="M148"/>
    </row>
    <row r="149" spans="5:13" ht="0" hidden="1" customHeight="1" x14ac:dyDescent="0.3">
      <c r="E149"/>
      <c r="F149"/>
      <c r="G149"/>
      <c r="H149"/>
      <c r="I149"/>
      <c r="J149"/>
      <c r="K149"/>
      <c r="L149"/>
      <c r="M149"/>
    </row>
    <row r="150" spans="5:13" ht="0" hidden="1" customHeight="1" x14ac:dyDescent="0.3">
      <c r="E150"/>
      <c r="F150"/>
      <c r="G150"/>
      <c r="H150"/>
      <c r="I150"/>
      <c r="J150"/>
      <c r="K150"/>
      <c r="L150"/>
      <c r="M150"/>
    </row>
    <row r="151" spans="5:13" ht="0" hidden="1" customHeight="1" x14ac:dyDescent="0.3">
      <c r="E151"/>
      <c r="F151"/>
      <c r="G151"/>
      <c r="H151"/>
      <c r="I151"/>
      <c r="J151"/>
      <c r="K151"/>
      <c r="L151"/>
      <c r="M151"/>
    </row>
    <row r="152" spans="5:13" ht="0" hidden="1" customHeight="1" x14ac:dyDescent="0.3">
      <c r="E152"/>
      <c r="F152"/>
      <c r="G152"/>
      <c r="H152"/>
      <c r="I152"/>
      <c r="J152"/>
      <c r="K152"/>
      <c r="L152"/>
      <c r="M152"/>
    </row>
    <row r="153" spans="5:13" ht="0" hidden="1" customHeight="1" x14ac:dyDescent="0.3">
      <c r="E153"/>
      <c r="F153"/>
      <c r="G153"/>
      <c r="H153"/>
      <c r="I153"/>
      <c r="J153"/>
      <c r="K153"/>
      <c r="L153"/>
      <c r="M153"/>
    </row>
    <row r="154" spans="5:13" ht="0" hidden="1" customHeight="1" x14ac:dyDescent="0.3">
      <c r="E154"/>
      <c r="F154"/>
      <c r="G154"/>
      <c r="H154"/>
      <c r="I154"/>
      <c r="J154"/>
      <c r="K154"/>
      <c r="L154"/>
      <c r="M154"/>
    </row>
    <row r="155" spans="5:13" ht="0" hidden="1" customHeight="1" x14ac:dyDescent="0.3">
      <c r="E155"/>
      <c r="F155"/>
      <c r="G155"/>
      <c r="H155"/>
      <c r="I155"/>
      <c r="J155"/>
      <c r="K155"/>
      <c r="L155"/>
      <c r="M155"/>
    </row>
  </sheetData>
  <mergeCells count="23">
    <mergeCell ref="F60:G60"/>
    <mergeCell ref="F61:G61"/>
    <mergeCell ref="F62:G62"/>
    <mergeCell ref="F63:G63"/>
    <mergeCell ref="F64:G64"/>
    <mergeCell ref="E35:G35"/>
    <mergeCell ref="F55:G55"/>
    <mergeCell ref="F56:G56"/>
    <mergeCell ref="F57:G57"/>
    <mergeCell ref="F58:G58"/>
    <mergeCell ref="F59:G59"/>
    <mergeCell ref="E20:G20"/>
    <mergeCell ref="F24:G24"/>
    <mergeCell ref="E25:G25"/>
    <mergeCell ref="F29:G29"/>
    <mergeCell ref="E30:G30"/>
    <mergeCell ref="F34:G34"/>
    <mergeCell ref="A1:L4"/>
    <mergeCell ref="F9:G9"/>
    <mergeCell ref="E10:G10"/>
    <mergeCell ref="F14:G14"/>
    <mergeCell ref="E15:G15"/>
    <mergeCell ref="F19:G19"/>
  </mergeCells>
  <conditionalFormatting sqref="K9">
    <cfRule type="expression" dxfId="5" priority="6" stopIfTrue="1">
      <formula>AND(ISNUMBER(K9),K9&lt;&gt;0)</formula>
    </cfRule>
  </conditionalFormatting>
  <conditionalFormatting sqref="K14">
    <cfRule type="expression" dxfId="4" priority="5" stopIfTrue="1">
      <formula>AND(ISNUMBER(K14),K14&lt;&gt;0)</formula>
    </cfRule>
  </conditionalFormatting>
  <conditionalFormatting sqref="K19">
    <cfRule type="expression" dxfId="3" priority="4" stopIfTrue="1">
      <formula>AND(ISNUMBER(K19),K19&lt;&gt;0)</formula>
    </cfRule>
  </conditionalFormatting>
  <conditionalFormatting sqref="K24">
    <cfRule type="expression" dxfId="2" priority="3" stopIfTrue="1">
      <formula>AND(ISNUMBER(K24),K24&lt;&gt;0)</formula>
    </cfRule>
  </conditionalFormatting>
  <conditionalFormatting sqref="K29">
    <cfRule type="expression" dxfId="1" priority="2" stopIfTrue="1">
      <formula>AND(ISNUMBER(K29),K29&lt;&gt;0)</formula>
    </cfRule>
  </conditionalFormatting>
  <conditionalFormatting sqref="K34">
    <cfRule type="expression" dxfId="0" priority="1" stopIfTrue="1">
      <formula>AND(ISNUMBER(K34),K34&lt;&gt;0)</formula>
    </cfRule>
  </conditionalFormatting>
  <dataValidations count="5">
    <dataValidation type="list" allowBlank="1" showInputMessage="1" showErrorMessage="1" sqref="J20 J15" xr:uid="{1B55D290-0F26-4BD5-A67F-DBF0C6D8EDBB}">
      <formula1>"Through Rate Amnd,Through Rate,Material Rate Amnd,Material Rate,Labour Rate Amnd,Labour Rate,Machinery Rate Amnd,Machinery Rate,Labour + Machinery Rate,Labour + Machinery Rate Amnd"</formula1>
    </dataValidation>
    <dataValidation type="list" allowBlank="1" showInputMessage="1" showErrorMessage="1" sqref="J25" xr:uid="{53BB0DB2-7427-4120-B790-AF67B0C5BED2}">
      <formula1>"Through Rate Amnd,Through Rate,Material Rate Amnd,Material Rate,Labour Rate Amnd,Labour Rate"</formula1>
    </dataValidation>
    <dataValidation type="list" allowBlank="1" showInputMessage="1" showErrorMessage="1" sqref="J30 J10" xr:uid="{5AA942B6-FBC9-4B83-8570-1A5BDA515A3D}">
      <formula1>"Through Rate,Labour Rate"</formula1>
    </dataValidation>
    <dataValidation type="list" allowBlank="1" showInputMessage="1" showErrorMessage="1" sqref="J35" xr:uid="{7BA5B6DE-C808-4737-BF99-C5A1D7929D6A}">
      <formula1>"Through Rate,Material Rate,Labour Rate"</formula1>
    </dataValidation>
    <dataValidation type="list" allowBlank="1" showInputMessage="1" showErrorMessage="1" sqref="J21" xr:uid="{7B9DAB65-0A9B-438A-9D3F-EBC0D815B719}">
      <formula1>"Labour rates Amnd,Labour Rate,Through rates Amnd,Through Rate,Material rates Amnd,Material Rate,Machinery rates Amnd,Machinery Rate"</formula1>
    </dataValidation>
  </dataValidations>
  <pageMargins left="0.48" right="0.23" top="0.75" bottom="0.75" header="0.3" footer="0.3"/>
  <pageSetup paperSize="9" scale="5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IPB Street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 BroThers</dc:creator>
  <cp:lastModifiedBy>GarG BroThers</cp:lastModifiedBy>
  <dcterms:created xsi:type="dcterms:W3CDTF">2025-12-29T05:10:28Z</dcterms:created>
  <dcterms:modified xsi:type="dcterms:W3CDTF">2025-12-29T05:10:29Z</dcterms:modified>
</cp:coreProperties>
</file>