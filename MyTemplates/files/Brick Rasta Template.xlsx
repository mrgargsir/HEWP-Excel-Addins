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gar\AppData\Local\MRGARGSIRTools\MyTemplates\"/>
    </mc:Choice>
  </mc:AlternateContent>
  <xr:revisionPtr revIDLastSave="0" documentId="8_{184D1443-E21F-40C7-AA4B-E77219B5E20A}" xr6:coauthVersionLast="47" xr6:coauthVersionMax="47" xr10:uidLastSave="{00000000-0000-0000-0000-000000000000}"/>
  <bookViews>
    <workbookView xWindow="-108" yWindow="-108" windowWidth="23256" windowHeight="12456" xr2:uid="{2CEA986F-D7B2-4784-B344-2F18C566A883}"/>
  </bookViews>
  <sheets>
    <sheet name="Brick Ras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6" i="2" l="1"/>
  <c r="K25" i="2"/>
  <c r="H24" i="2"/>
  <c r="H25" i="2" s="1"/>
  <c r="H26" i="2" s="1"/>
  <c r="L26" i="2" s="1"/>
  <c r="K21" i="2"/>
  <c r="H19" i="2"/>
  <c r="H20" i="2" s="1"/>
  <c r="H21" i="2" s="1"/>
  <c r="L21" i="2" s="1"/>
  <c r="H18" i="2"/>
  <c r="H17" i="2"/>
  <c r="H16" i="2"/>
  <c r="H15" i="2"/>
  <c r="K12" i="2"/>
  <c r="K11" i="2"/>
  <c r="H10" i="2"/>
  <c r="H9" i="2"/>
  <c r="H8" i="2"/>
  <c r="H7" i="2"/>
  <c r="H11" i="2" s="1"/>
  <c r="H12" i="2" s="1"/>
  <c r="L12" i="2" s="1"/>
  <c r="L28" i="2" s="1"/>
  <c r="A6" i="2"/>
  <c r="A14" i="2" s="1"/>
  <c r="A23" i="2" s="1"/>
  <c r="L29" i="2" l="1"/>
  <c r="L30" i="2" s="1"/>
  <c r="L31" i="2" l="1"/>
  <c r="L32" i="2" s="1"/>
  <c r="J34" i="2" s="1"/>
</calcChain>
</file>

<file path=xl/sharedStrings.xml><?xml version="1.0" encoding="utf-8"?>
<sst xmlns="http://schemas.openxmlformats.org/spreadsheetml/2006/main" count="60" uniqueCount="41">
  <si>
    <t>Brick Rasta</t>
  </si>
  <si>
    <t>Sr No</t>
  </si>
  <si>
    <t>HSR
Item No</t>
  </si>
  <si>
    <t>Description</t>
  </si>
  <si>
    <t>Nos</t>
  </si>
  <si>
    <t>Length</t>
  </si>
  <si>
    <t>Breadth</t>
  </si>
  <si>
    <t>Depth</t>
  </si>
  <si>
    <t>Quantity</t>
  </si>
  <si>
    <t>Unit</t>
  </si>
  <si>
    <t>Rate Type</t>
  </si>
  <si>
    <t>Rate</t>
  </si>
  <si>
    <t>Amount</t>
  </si>
  <si>
    <t>14.1</t>
  </si>
  <si>
    <t>(14.1) Lining and Outlets A Lining Dressing bed and preparation of sub grade for lining by mechanical/ mannual means</t>
  </si>
  <si>
    <t>sft</t>
  </si>
  <si>
    <t>Total (sft)</t>
  </si>
  <si>
    <t>Total (sqm)</t>
  </si>
  <si>
    <t>sqm</t>
  </si>
  <si>
    <t>Through Rate</t>
  </si>
  <si>
    <t>21.14</t>
  </si>
  <si>
    <t>(21.14) Sewerage and Drainage Reimbursements to drains and flooring in strips First class dry brick on edge flooring or paving in ordinary bounded courses or bound, laid as described in item no.21.13.</t>
  </si>
  <si>
    <t>Total (Per 10 sqm)</t>
  </si>
  <si>
    <t>10 sqm</t>
  </si>
  <si>
    <t>10.36</t>
  </si>
  <si>
    <t>(10.36) Flooring and Dados BRICK FLOORING Brick on end in soil/edging in required pattern with bricks of class designation</t>
  </si>
  <si>
    <t>rft</t>
  </si>
  <si>
    <t>Total (rft)</t>
  </si>
  <si>
    <t>End</t>
  </si>
  <si>
    <t>Total (meter)</t>
  </si>
  <si>
    <t>rmt</t>
  </si>
  <si>
    <t>Total</t>
  </si>
  <si>
    <t>Add 18% GST</t>
  </si>
  <si>
    <t>Total Amount</t>
  </si>
  <si>
    <t>Add 1% Contigency</t>
  </si>
  <si>
    <t>GRAND TOTAL</t>
  </si>
  <si>
    <t xml:space="preserve"> .</t>
  </si>
  <si>
    <t xml:space="preserve">Say Rs. : </t>
  </si>
  <si>
    <t>Material</t>
  </si>
  <si>
    <t>Gst</t>
  </si>
  <si>
    <t>Amount +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</si>
</sst>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quot;&quot;"/>
    <numFmt numFmtId="166" formatCode="_(* #,##0_);_(* \(#,##0\);_(* &quot;-&quot;??_);_(@_)"/>
    <numFmt numFmtId="167" formatCode="#,##0.000"/>
    <numFmt numFmtId="168" formatCode="0.0000"/>
  </numFmts>
  <fonts count="18" x14ac:knownFonts="1">
    <font>
      <sz val="11"/>
      <color theme="1"/>
      <name val="Calibri"/>
      <family val="2"/>
      <scheme val="minor"/>
    </font>
    <font>
      <b/>
      <sz val="11"/>
      <color theme="1"/>
      <name val="Calibri"/>
      <family val="2"/>
      <scheme val="minor"/>
    </font>
    <font>
      <b/>
      <sz val="18"/>
      <color theme="1"/>
      <name val="Times New Roman"/>
      <family val="1"/>
    </font>
    <font>
      <b/>
      <sz val="14"/>
      <name val="Times New Roman"/>
      <family val="1"/>
    </font>
    <font>
      <b/>
      <sz val="12"/>
      <name val="Times New Roman"/>
      <family val="1"/>
    </font>
    <font>
      <b/>
      <sz val="12"/>
      <color theme="1"/>
      <name val="Times New Roman"/>
      <family val="1"/>
    </font>
    <font>
      <sz val="10"/>
      <name val="Arial"/>
      <family val="2"/>
    </font>
    <font>
      <b/>
      <i/>
      <sz val="10"/>
      <color rgb="FF006400"/>
      <name val="Times New Roman"/>
      <family val="1"/>
    </font>
    <font>
      <sz val="12"/>
      <color theme="1"/>
      <name val="Times New Roman"/>
      <family val="1"/>
    </font>
    <font>
      <sz val="12"/>
      <name val="Times New Roman"/>
      <family val="1"/>
    </font>
    <font>
      <b/>
      <i/>
      <sz val="10"/>
      <color rgb="FF006400"/>
      <name val="Calibri"/>
      <family val="2"/>
      <scheme val="minor"/>
    </font>
    <font>
      <b/>
      <i/>
      <sz val="12"/>
      <color rgb="FF000000"/>
      <name val="Times New Roman"/>
      <family val="1"/>
    </font>
    <font>
      <b/>
      <sz val="11"/>
      <color rgb="FF000000"/>
      <name val="Times New Roman"/>
      <family val="1"/>
    </font>
    <font>
      <b/>
      <sz val="11"/>
      <color rgb="FF000000"/>
      <name val="Calibri"/>
      <family val="2"/>
      <scheme val="minor"/>
    </font>
    <font>
      <b/>
      <sz val="11"/>
      <color theme="1"/>
      <name val="Times New Roman"/>
      <family val="1"/>
    </font>
    <font>
      <b/>
      <i/>
      <sz val="14"/>
      <color rgb="FF000000"/>
      <name val="Times New Roman"/>
      <family val="1"/>
    </font>
    <font>
      <sz val="11"/>
      <color theme="1"/>
      <name val="Times New Roman"/>
      <family val="1"/>
    </font>
    <font>
      <b/>
      <sz val="14"/>
      <color rgb="FF000000"/>
      <name val="Times New Roman"/>
      <family val="1"/>
    </font>
  </fonts>
  <fills count="10">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theme="0"/>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top/>
      <bottom style="thick">
        <color auto="1"/>
      </bottom>
      <diagonal/>
    </border>
    <border>
      <left/>
      <right style="thin">
        <color indexed="64"/>
      </right>
      <top/>
      <bottom style="thick">
        <color indexed="64"/>
      </bottom>
      <diagonal/>
    </border>
    <border>
      <left style="thick">
        <color auto="1"/>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auto="1"/>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2">
    <xf numFmtId="0" fontId="0" fillId="0" borderId="0"/>
    <xf numFmtId="0" fontId="6" fillId="0" borderId="0"/>
  </cellStyleXfs>
  <cellXfs count="129">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3" fillId="0" borderId="9" xfId="0" applyFont="1" applyBorder="1" applyAlignment="1">
      <alignment horizontal="center" vertical="center" wrapText="1"/>
    </xf>
    <xf numFmtId="49" fontId="4" fillId="0" borderId="10" xfId="0" applyNumberFormat="1" applyFont="1" applyBorder="1" applyAlignment="1">
      <alignment horizontal="center" vertical="center" wrapText="1"/>
    </xf>
    <xf numFmtId="0" fontId="3" fillId="0" borderId="10" xfId="0" applyFont="1" applyBorder="1" applyAlignment="1">
      <alignment horizontal="center" vertical="center" wrapText="1"/>
    </xf>
    <xf numFmtId="2" fontId="3" fillId="0" borderId="10" xfId="0" applyNumberFormat="1" applyFont="1" applyBorder="1" applyAlignment="1">
      <alignment horizontal="center" vertical="center" wrapText="1"/>
    </xf>
    <xf numFmtId="1" fontId="3" fillId="0" borderId="10" xfId="0" applyNumberFormat="1" applyFont="1" applyBorder="1" applyAlignment="1">
      <alignment horizontal="center" vertical="center" wrapText="1"/>
    </xf>
    <xf numFmtId="0" fontId="3" fillId="0" borderId="11" xfId="0" applyFont="1" applyBorder="1" applyAlignment="1" applyProtection="1">
      <alignment horizontal="center" vertical="center" wrapText="1"/>
      <protection locked="0"/>
    </xf>
    <xf numFmtId="0" fontId="3" fillId="0" borderId="0" xfId="0" applyFont="1" applyProtection="1">
      <protection locked="0"/>
    </xf>
    <xf numFmtId="0" fontId="3" fillId="0" borderId="12"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3" fillId="0" borderId="13" xfId="0" applyFont="1" applyBorder="1" applyAlignment="1">
      <alignment horizontal="center" vertical="center" wrapText="1"/>
    </xf>
    <xf numFmtId="2" fontId="3" fillId="0" borderId="13" xfId="0" applyNumberFormat="1" applyFont="1" applyBorder="1" applyAlignment="1">
      <alignment horizontal="center" vertical="center" wrapText="1"/>
    </xf>
    <xf numFmtId="2" fontId="3" fillId="2" borderId="13" xfId="0" applyNumberFormat="1" applyFont="1" applyFill="1" applyBorder="1" applyAlignment="1">
      <alignment horizontal="right" vertical="center" wrapText="1"/>
    </xf>
    <xf numFmtId="0" fontId="3" fillId="0" borderId="13" xfId="0" applyFont="1" applyBorder="1" applyAlignment="1">
      <alignment horizontal="left" vertical="center" wrapText="1"/>
    </xf>
    <xf numFmtId="1" fontId="3" fillId="3" borderId="13" xfId="0" applyNumberFormat="1" applyFont="1" applyFill="1" applyBorder="1" applyAlignment="1">
      <alignment horizontal="center" vertical="center" wrapText="1"/>
    </xf>
    <xf numFmtId="1" fontId="3" fillId="4" borderId="13" xfId="0" applyNumberFormat="1" applyFont="1" applyFill="1" applyBorder="1" applyAlignment="1">
      <alignment horizontal="right" vertical="center" wrapText="1"/>
    </xf>
    <xf numFmtId="0" fontId="3" fillId="0" borderId="14" xfId="0" applyFont="1" applyBorder="1" applyAlignment="1" applyProtection="1">
      <alignment horizontal="center" vertical="center" wrapText="1"/>
      <protection locked="0"/>
    </xf>
    <xf numFmtId="1"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xf numFmtId="0" fontId="7" fillId="0" borderId="16" xfId="1" applyFont="1" applyBorder="1" applyAlignment="1">
      <alignment horizontal="left" vertical="center" wrapText="1"/>
    </xf>
    <xf numFmtId="0" fontId="8" fillId="0" borderId="17" xfId="0" applyFont="1" applyBorder="1" applyAlignment="1">
      <alignment horizontal="center" vertical="center"/>
    </xf>
    <xf numFmtId="0" fontId="8" fillId="0" borderId="13" xfId="0" applyFont="1" applyBorder="1" applyAlignment="1">
      <alignment horizontal="center" vertical="center"/>
    </xf>
    <xf numFmtId="2" fontId="8" fillId="2" borderId="13" xfId="0" applyNumberFormat="1" applyFont="1" applyFill="1" applyBorder="1" applyAlignment="1">
      <alignment horizontal="right" vertical="center"/>
    </xf>
    <xf numFmtId="0" fontId="5" fillId="0" borderId="13" xfId="0" applyFont="1" applyBorder="1" applyAlignment="1">
      <alignment horizontal="left" vertical="center"/>
    </xf>
    <xf numFmtId="0" fontId="8" fillId="3" borderId="13" xfId="0" applyFont="1" applyFill="1" applyBorder="1" applyAlignment="1">
      <alignment horizontal="center" vertical="center" wrapText="1"/>
    </xf>
    <xf numFmtId="0" fontId="8" fillId="4" borderId="13" xfId="0" applyFont="1" applyFill="1" applyBorder="1" applyAlignment="1">
      <alignment horizontal="right" vertical="center"/>
    </xf>
    <xf numFmtId="1" fontId="5" fillId="0" borderId="14" xfId="0" applyNumberFormat="1" applyFont="1" applyBorder="1" applyAlignment="1">
      <alignment horizontal="center" vertical="center"/>
    </xf>
    <xf numFmtId="0" fontId="5" fillId="0" borderId="16" xfId="0" applyFont="1" applyBorder="1" applyAlignment="1">
      <alignment horizontal="center" vertical="center"/>
    </xf>
    <xf numFmtId="0" fontId="8" fillId="0" borderId="16" xfId="0" applyFont="1" applyBorder="1" applyAlignment="1">
      <alignment horizontal="left" vertical="center" wrapText="1"/>
    </xf>
    <xf numFmtId="0" fontId="8" fillId="5" borderId="16" xfId="0" applyFont="1" applyFill="1" applyBorder="1" applyAlignment="1">
      <alignment horizontal="center" vertical="center" wrapText="1"/>
    </xf>
    <xf numFmtId="0" fontId="9" fillId="0" borderId="16" xfId="0" applyFont="1" applyBorder="1" applyAlignment="1">
      <alignment horizontal="center" vertical="center"/>
    </xf>
    <xf numFmtId="164" fontId="8" fillId="2" borderId="16" xfId="0" applyNumberFormat="1" applyFont="1" applyFill="1" applyBorder="1" applyAlignment="1">
      <alignment horizontal="right" vertical="center" wrapText="1"/>
    </xf>
    <xf numFmtId="0" fontId="5" fillId="0" borderId="16" xfId="0" applyFont="1" applyBorder="1" applyAlignment="1">
      <alignment horizontal="left" vertical="center"/>
    </xf>
    <xf numFmtId="0" fontId="8" fillId="3" borderId="16" xfId="0" applyFont="1" applyFill="1" applyBorder="1" applyAlignment="1">
      <alignment horizontal="center" vertical="center" wrapText="1"/>
    </xf>
    <xf numFmtId="0" fontId="8" fillId="4" borderId="16" xfId="0" applyFont="1" applyFill="1" applyBorder="1" applyAlignment="1">
      <alignment horizontal="right" vertical="center"/>
    </xf>
    <xf numFmtId="1" fontId="5" fillId="0" borderId="18" xfId="0" applyNumberFormat="1" applyFont="1" applyBorder="1" applyAlignment="1">
      <alignment horizontal="center" vertical="center"/>
    </xf>
    <xf numFmtId="1" fontId="5" fillId="6" borderId="15" xfId="0" applyNumberFormat="1" applyFont="1" applyFill="1" applyBorder="1" applyAlignment="1">
      <alignment horizontal="center" vertical="center"/>
    </xf>
    <xf numFmtId="0" fontId="5" fillId="6" borderId="16" xfId="0" applyFont="1" applyFill="1" applyBorder="1" applyAlignment="1">
      <alignment horizontal="center" vertical="center"/>
    </xf>
    <xf numFmtId="0" fontId="5" fillId="6" borderId="16" xfId="0" applyFont="1" applyFill="1" applyBorder="1" applyAlignment="1">
      <alignment horizontal="left" vertical="center" wrapText="1"/>
    </xf>
    <xf numFmtId="0" fontId="5" fillId="6" borderId="16" xfId="0" applyFont="1" applyFill="1" applyBorder="1" applyAlignment="1">
      <alignment horizontal="center" vertical="center"/>
    </xf>
    <xf numFmtId="2" fontId="5" fillId="2" borderId="16" xfId="0" applyNumberFormat="1" applyFont="1" applyFill="1" applyBorder="1" applyAlignment="1">
      <alignment horizontal="right" vertical="center" wrapText="1"/>
    </xf>
    <xf numFmtId="0" fontId="5" fillId="6" borderId="16" xfId="0" applyFont="1" applyFill="1" applyBorder="1" applyAlignment="1">
      <alignment horizontal="left" vertical="center"/>
    </xf>
    <xf numFmtId="0" fontId="5" fillId="3" borderId="16" xfId="0" applyFont="1" applyFill="1" applyBorder="1" applyAlignment="1">
      <alignment horizontal="center" vertical="center" wrapText="1"/>
    </xf>
    <xf numFmtId="165" fontId="5" fillId="4" borderId="16" xfId="0" applyNumberFormat="1" applyFont="1" applyFill="1" applyBorder="1" applyAlignment="1">
      <alignment horizontal="right" vertical="center"/>
    </xf>
    <xf numFmtId="1" fontId="5" fillId="6" borderId="18" xfId="0" applyNumberFormat="1" applyFont="1" applyFill="1" applyBorder="1" applyAlignment="1">
      <alignment horizontal="center" vertical="center"/>
    </xf>
    <xf numFmtId="1" fontId="5" fillId="7" borderId="15" xfId="0" applyNumberFormat="1" applyFont="1" applyFill="1" applyBorder="1" applyAlignment="1">
      <alignment horizontal="center" vertical="center"/>
    </xf>
    <xf numFmtId="0" fontId="5" fillId="7" borderId="16" xfId="0" applyFont="1" applyFill="1" applyBorder="1" applyAlignment="1">
      <alignment horizontal="center" vertical="center"/>
    </xf>
    <xf numFmtId="0" fontId="5" fillId="7" borderId="16" xfId="0" applyFont="1" applyFill="1" applyBorder="1" applyAlignment="1">
      <alignment horizontal="left" vertical="center" wrapText="1"/>
    </xf>
    <xf numFmtId="0" fontId="5" fillId="7" borderId="16" xfId="0" applyFont="1" applyFill="1" applyBorder="1" applyAlignment="1">
      <alignment horizontal="center" vertical="center"/>
    </xf>
    <xf numFmtId="164" fontId="5" fillId="2" borderId="16" xfId="0" applyNumberFormat="1" applyFont="1" applyFill="1" applyBorder="1" applyAlignment="1">
      <alignment horizontal="right" vertical="center"/>
    </xf>
    <xf numFmtId="0" fontId="5" fillId="4" borderId="16" xfId="0" applyFont="1" applyFill="1" applyBorder="1" applyAlignment="1">
      <alignment horizontal="right" vertical="center"/>
    </xf>
    <xf numFmtId="166" fontId="5" fillId="7" borderId="18" xfId="0" applyNumberFormat="1" applyFont="1" applyFill="1" applyBorder="1" applyAlignment="1">
      <alignment horizontal="center" vertical="center"/>
    </xf>
    <xf numFmtId="1" fontId="5" fillId="8" borderId="12" xfId="0" applyNumberFormat="1" applyFont="1" applyFill="1" applyBorder="1" applyAlignment="1">
      <alignment horizontal="center" vertical="center"/>
    </xf>
    <xf numFmtId="0" fontId="5" fillId="8" borderId="13" xfId="0" applyFont="1" applyFill="1" applyBorder="1" applyAlignment="1">
      <alignment horizontal="center" vertical="center"/>
    </xf>
    <xf numFmtId="0" fontId="8" fillId="8" borderId="13" xfId="0" applyFont="1" applyFill="1" applyBorder="1" applyAlignment="1">
      <alignment horizontal="left" vertical="center" wrapText="1"/>
    </xf>
    <xf numFmtId="0" fontId="8" fillId="8" borderId="13" xfId="0" applyFont="1" applyFill="1" applyBorder="1" applyAlignment="1">
      <alignment horizontal="center" vertical="center"/>
    </xf>
    <xf numFmtId="0" fontId="5" fillId="8" borderId="13" xfId="0" applyFont="1" applyFill="1" applyBorder="1" applyAlignment="1">
      <alignment horizontal="left" vertical="center"/>
    </xf>
    <xf numFmtId="1" fontId="5" fillId="8" borderId="14" xfId="0" applyNumberFormat="1" applyFont="1" applyFill="1" applyBorder="1" applyAlignment="1">
      <alignment horizontal="center" vertical="center"/>
    </xf>
    <xf numFmtId="0" fontId="10" fillId="0" borderId="16" xfId="0" applyFont="1" applyBorder="1" applyAlignment="1">
      <alignment vertical="center" wrapText="1"/>
    </xf>
    <xf numFmtId="0" fontId="8" fillId="0" borderId="16" xfId="0" applyFont="1" applyBorder="1" applyAlignment="1">
      <alignment horizontal="center" vertical="center"/>
    </xf>
    <xf numFmtId="164" fontId="8" fillId="2" borderId="16" xfId="0" applyNumberFormat="1" applyFont="1" applyFill="1" applyBorder="1" applyAlignment="1">
      <alignment horizontal="right" vertical="center"/>
    </xf>
    <xf numFmtId="0" fontId="1" fillId="6" borderId="16" xfId="0" applyFont="1" applyFill="1" applyBorder="1" applyAlignment="1">
      <alignment vertical="center" wrapText="1"/>
    </xf>
    <xf numFmtId="0" fontId="5" fillId="6" borderId="16" xfId="0" applyFont="1" applyFill="1" applyBorder="1" applyAlignment="1">
      <alignment horizontal="center" vertical="center" wrapText="1"/>
    </xf>
    <xf numFmtId="0" fontId="4" fillId="6" borderId="16" xfId="0" applyFont="1" applyFill="1" applyBorder="1" applyAlignment="1">
      <alignment horizontal="center" vertical="center"/>
    </xf>
    <xf numFmtId="0" fontId="4" fillId="6" borderId="16" xfId="0" applyFont="1" applyFill="1" applyBorder="1" applyAlignment="1">
      <alignment horizontal="center" vertical="center"/>
    </xf>
    <xf numFmtId="0" fontId="1" fillId="7" borderId="16" xfId="0" applyFont="1" applyFill="1" applyBorder="1" applyAlignment="1">
      <alignment vertical="center" wrapText="1"/>
    </xf>
    <xf numFmtId="0" fontId="5" fillId="7" borderId="16" xfId="0" applyFont="1" applyFill="1" applyBorder="1" applyAlignment="1">
      <alignment horizontal="center" vertical="center" wrapText="1"/>
    </xf>
    <xf numFmtId="0" fontId="4" fillId="7" borderId="16" xfId="0" applyFont="1" applyFill="1" applyBorder="1" applyAlignment="1">
      <alignment horizontal="center" vertical="center"/>
    </xf>
    <xf numFmtId="0" fontId="0" fillId="0" borderId="0" xfId="0" applyAlignment="1">
      <alignment vertical="center"/>
    </xf>
    <xf numFmtId="0" fontId="11" fillId="7" borderId="16" xfId="0" applyFont="1" applyFill="1" applyBorder="1" applyAlignment="1">
      <alignment horizontal="center" vertical="center"/>
    </xf>
    <xf numFmtId="167" fontId="5" fillId="2" borderId="16" xfId="0" applyNumberFormat="1" applyFont="1" applyFill="1" applyBorder="1" applyAlignment="1">
      <alignment horizontal="right" vertical="center"/>
    </xf>
    <xf numFmtId="0" fontId="5" fillId="8" borderId="13" xfId="0" applyFont="1" applyFill="1" applyBorder="1" applyAlignment="1">
      <alignment horizontal="left" vertical="center" wrapText="1"/>
    </xf>
    <xf numFmtId="0" fontId="5" fillId="8" borderId="13" xfId="0" applyFont="1" applyFill="1" applyBorder="1" applyAlignment="1">
      <alignment horizontal="center" vertical="center"/>
    </xf>
    <xf numFmtId="168" fontId="5" fillId="2" borderId="13" xfId="0" applyNumberFormat="1" applyFont="1" applyFill="1" applyBorder="1" applyAlignment="1">
      <alignment horizontal="right" vertical="center" wrapText="1"/>
    </xf>
    <xf numFmtId="0" fontId="5" fillId="3" borderId="13" xfId="0" applyFont="1" applyFill="1" applyBorder="1" applyAlignment="1">
      <alignment horizontal="center" vertical="center" wrapText="1"/>
    </xf>
    <xf numFmtId="165" fontId="5" fillId="4" borderId="13" xfId="0" applyNumberFormat="1" applyFont="1" applyFill="1" applyBorder="1" applyAlignment="1">
      <alignment horizontal="right" vertical="center"/>
    </xf>
    <xf numFmtId="0" fontId="7" fillId="0" borderId="16" xfId="0" applyFont="1" applyBorder="1" applyAlignment="1">
      <alignment horizontal="left" vertical="center" wrapText="1"/>
    </xf>
    <xf numFmtId="0" fontId="5" fillId="4" borderId="13" xfId="0" applyFont="1" applyFill="1" applyBorder="1" applyAlignment="1">
      <alignment horizontal="right" vertical="center"/>
    </xf>
    <xf numFmtId="1" fontId="5" fillId="8" borderId="15" xfId="0" applyNumberFormat="1" applyFont="1" applyFill="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vertical="center"/>
    </xf>
    <xf numFmtId="0" fontId="1" fillId="6" borderId="16" xfId="0" applyFont="1" applyFill="1" applyBorder="1" applyAlignment="1">
      <alignment horizontal="center" vertical="center"/>
    </xf>
    <xf numFmtId="0" fontId="1" fillId="2" borderId="16" xfId="0" applyFont="1" applyFill="1" applyBorder="1" applyAlignment="1">
      <alignment horizontal="right" vertical="center"/>
    </xf>
    <xf numFmtId="0" fontId="1" fillId="6" borderId="16" xfId="0" applyFont="1" applyFill="1" applyBorder="1" applyAlignment="1">
      <alignment horizontal="left" vertical="center"/>
    </xf>
    <xf numFmtId="0" fontId="1" fillId="3" borderId="16" xfId="0" applyFont="1" applyFill="1" applyBorder="1" applyAlignment="1">
      <alignment horizontal="center" vertical="center" wrapText="1"/>
    </xf>
    <xf numFmtId="165" fontId="1" fillId="4" borderId="16" xfId="0" applyNumberFormat="1" applyFont="1" applyFill="1" applyBorder="1" applyAlignment="1">
      <alignment horizontal="right" vertical="center"/>
    </xf>
    <xf numFmtId="0" fontId="1" fillId="6" borderId="18" xfId="0" applyFont="1" applyFill="1" applyBorder="1" applyAlignment="1">
      <alignment horizontal="center" vertical="center"/>
    </xf>
    <xf numFmtId="0" fontId="1" fillId="7" borderId="15" xfId="0" applyFont="1" applyFill="1" applyBorder="1" applyAlignment="1">
      <alignment horizontal="center" vertical="center"/>
    </xf>
    <xf numFmtId="0" fontId="1" fillId="7" borderId="16" xfId="0" applyFont="1" applyFill="1" applyBorder="1" applyAlignment="1">
      <alignment horizontal="center" vertical="center"/>
    </xf>
    <xf numFmtId="0" fontId="1" fillId="7" borderId="16" xfId="0" applyFont="1" applyFill="1" applyBorder="1" applyAlignment="1">
      <alignment vertical="center"/>
    </xf>
    <xf numFmtId="0" fontId="1" fillId="7" borderId="16" xfId="0" applyFont="1" applyFill="1" applyBorder="1" applyAlignment="1">
      <alignment horizontal="center" vertical="center"/>
    </xf>
    <xf numFmtId="164" fontId="1" fillId="2" borderId="16" xfId="0" applyNumberFormat="1" applyFont="1" applyFill="1" applyBorder="1" applyAlignment="1">
      <alignment horizontal="right" vertical="center"/>
    </xf>
    <xf numFmtId="0" fontId="1" fillId="7" borderId="16" xfId="0" applyFont="1" applyFill="1" applyBorder="1" applyAlignment="1">
      <alignment horizontal="left" vertical="center" wrapText="1"/>
    </xf>
    <xf numFmtId="0" fontId="1" fillId="4" borderId="16" xfId="0" applyFont="1" applyFill="1" applyBorder="1" applyAlignment="1">
      <alignment horizontal="right" vertical="center"/>
    </xf>
    <xf numFmtId="166" fontId="1" fillId="7" borderId="18" xfId="0" applyNumberFormat="1" applyFont="1" applyFill="1" applyBorder="1" applyAlignment="1">
      <alignment horizontal="center" vertical="center"/>
    </xf>
    <xf numFmtId="0" fontId="1" fillId="8" borderId="19" xfId="0" applyFont="1" applyFill="1" applyBorder="1" applyAlignment="1">
      <alignment horizontal="center" vertical="center"/>
    </xf>
    <xf numFmtId="0" fontId="1" fillId="8" borderId="7" xfId="0" applyFont="1" applyFill="1" applyBorder="1" applyAlignment="1">
      <alignment horizontal="center" vertical="center"/>
    </xf>
    <xf numFmtId="0" fontId="0" fillId="8" borderId="7" xfId="0" applyFill="1" applyBorder="1" applyAlignment="1">
      <alignment vertical="center"/>
    </xf>
    <xf numFmtId="0" fontId="0" fillId="8" borderId="7" xfId="0" applyFill="1" applyBorder="1" applyAlignment="1">
      <alignment horizontal="center" vertical="center"/>
    </xf>
    <xf numFmtId="0" fontId="1" fillId="8" borderId="20" xfId="0" applyFont="1" applyFill="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12" fillId="9" borderId="21" xfId="0" applyFont="1" applyFill="1" applyBorder="1" applyAlignment="1">
      <alignment horizontal="centerContinuous" vertical="center"/>
    </xf>
    <xf numFmtId="0" fontId="13" fillId="9" borderId="22" xfId="0" applyFont="1" applyFill="1" applyBorder="1" applyAlignment="1">
      <alignment horizontal="centerContinuous"/>
    </xf>
    <xf numFmtId="166" fontId="13" fillId="9" borderId="23" xfId="0" applyNumberFormat="1" applyFont="1" applyFill="1" applyBorder="1" applyAlignment="1">
      <alignment horizontal="center" vertical="center"/>
    </xf>
    <xf numFmtId="0" fontId="12" fillId="9" borderId="12" xfId="0" applyFont="1" applyFill="1" applyBorder="1" applyAlignment="1">
      <alignment horizontal="centerContinuous" vertical="center"/>
    </xf>
    <xf numFmtId="0" fontId="13" fillId="9" borderId="13" xfId="0" applyFont="1" applyFill="1" applyBorder="1" applyAlignment="1">
      <alignment horizontal="centerContinuous"/>
    </xf>
    <xf numFmtId="166" fontId="13" fillId="9" borderId="14" xfId="0" applyNumberFormat="1" applyFont="1" applyFill="1" applyBorder="1" applyAlignment="1">
      <alignment horizontal="center" vertical="center"/>
    </xf>
    <xf numFmtId="0" fontId="12" fillId="9" borderId="24" xfId="0" applyFont="1" applyFill="1" applyBorder="1" applyAlignment="1">
      <alignment horizontal="centerContinuous" vertical="center"/>
    </xf>
    <xf numFmtId="0" fontId="13" fillId="9" borderId="25" xfId="0" applyFont="1" applyFill="1" applyBorder="1" applyAlignment="1">
      <alignment horizontal="centerContinuous"/>
    </xf>
    <xf numFmtId="166" fontId="13" fillId="9" borderId="26" xfId="0" applyNumberFormat="1" applyFont="1" applyFill="1" applyBorder="1" applyAlignment="1">
      <alignment horizontal="center" vertical="center"/>
    </xf>
    <xf numFmtId="0" fontId="14" fillId="0" borderId="0" xfId="0" applyFont="1" applyAlignment="1">
      <alignment horizontal="centerContinuous" vertical="center"/>
    </xf>
    <xf numFmtId="0" fontId="1" fillId="0" borderId="0" xfId="0" applyFont="1" applyAlignment="1">
      <alignment horizontal="centerContinuous"/>
    </xf>
    <xf numFmtId="0" fontId="15" fillId="0" borderId="0" xfId="0" applyFont="1" applyAlignment="1">
      <alignment horizontal="right" vertical="center" wrapText="1"/>
    </xf>
    <xf numFmtId="0" fontId="15" fillId="0" borderId="0" xfId="0" applyFont="1" applyAlignment="1">
      <alignment horizontal="centerContinuous" vertical="center" wrapText="1"/>
    </xf>
    <xf numFmtId="0" fontId="16" fillId="0" borderId="0" xfId="0" applyFont="1" applyAlignment="1">
      <alignment horizontal="centerContinuous"/>
    </xf>
    <xf numFmtId="0" fontId="1" fillId="0" borderId="0" xfId="0" applyFont="1" applyAlignment="1">
      <alignment vertical="center"/>
    </xf>
    <xf numFmtId="1" fontId="0" fillId="0" borderId="0" xfId="0" applyNumberFormat="1" applyAlignment="1">
      <alignment vertical="center"/>
    </xf>
    <xf numFmtId="0" fontId="17" fillId="0" borderId="0" xfId="0" applyFont="1" applyAlignment="1">
      <alignment horizontal="center" vertical="center" wrapText="1"/>
    </xf>
    <xf numFmtId="0" fontId="17" fillId="0" borderId="0" xfId="0" applyFont="1" applyAlignment="1">
      <alignment horizontal="center" vertical="center" wrapText="1"/>
    </xf>
  </cellXfs>
  <cellStyles count="2">
    <cellStyle name="Normal" xfId="0" builtinId="0"/>
    <cellStyle name="Normal 7 2" xfId="1" xr:uid="{F5530238-28BE-4483-B510-33BBA8E052DB}"/>
  </cellStyles>
  <dxfs count="4">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83136-5494-4858-950A-B51C1990A28F}">
  <sheetPr>
    <tabColor rgb="FF92D050"/>
  </sheetPr>
  <dimension ref="A1:O146"/>
  <sheetViews>
    <sheetView showGridLines="0" tabSelected="1" zoomScaleNormal="100" zoomScaleSheetLayoutView="115" workbookViewId="0">
      <pane ySplit="4" topLeftCell="A23" activePane="bottomLeft" state="frozen"/>
      <selection pane="bottomLeft" activeCell="C32" sqref="C32"/>
    </sheetView>
  </sheetViews>
  <sheetFormatPr defaultColWidth="0" defaultRowHeight="14.4" zeroHeight="1" x14ac:dyDescent="0.3"/>
  <cols>
    <col min="1" max="2" width="10.77734375" style="109" customWidth="1"/>
    <col min="3" max="3" width="69.77734375" style="77" customWidth="1"/>
    <col min="4" max="4" width="10.77734375" style="110" customWidth="1"/>
    <col min="5" max="7" width="10.77734375" style="77" customWidth="1"/>
    <col min="8" max="8" width="10.77734375" style="110" customWidth="1"/>
    <col min="9" max="9" width="10.77734375" style="125" customWidth="1"/>
    <col min="10" max="10" width="10.77734375" style="77" customWidth="1"/>
    <col min="11" max="11" width="10.77734375" style="110" customWidth="1"/>
    <col min="12" max="12" width="10.33203125" style="126" bestFit="1" customWidth="1"/>
    <col min="13" max="13" width="12.109375" bestFit="1" customWidth="1"/>
    <col min="14" max="14" width="5.77734375" customWidth="1"/>
    <col min="15" max="15" width="28.5546875" hidden="1" customWidth="1"/>
    <col min="16" max="16384" width="9.109375" hidden="1"/>
  </cols>
  <sheetData>
    <row r="1" spans="1:12" ht="14.4" customHeight="1" x14ac:dyDescent="0.3">
      <c r="A1" s="1" t="s">
        <v>0</v>
      </c>
      <c r="B1" s="2"/>
      <c r="C1" s="2"/>
      <c r="D1" s="2"/>
      <c r="E1" s="2"/>
      <c r="F1" s="2"/>
      <c r="G1" s="2"/>
      <c r="H1" s="2"/>
      <c r="I1" s="2"/>
      <c r="J1" s="2"/>
      <c r="K1" s="2"/>
      <c r="L1" s="3"/>
    </row>
    <row r="2" spans="1:12" ht="14.4" customHeight="1" x14ac:dyDescent="0.3">
      <c r="A2" s="4"/>
      <c r="B2" s="5"/>
      <c r="C2" s="5"/>
      <c r="D2" s="5"/>
      <c r="E2" s="5"/>
      <c r="F2" s="5"/>
      <c r="G2" s="5"/>
      <c r="H2" s="5"/>
      <c r="I2" s="5"/>
      <c r="J2" s="5"/>
      <c r="K2" s="5"/>
      <c r="L2" s="6"/>
    </row>
    <row r="3" spans="1:12" ht="14.4" customHeight="1" thickBot="1" x14ac:dyDescent="0.35">
      <c r="A3" s="7"/>
      <c r="B3" s="8"/>
      <c r="C3" s="8"/>
      <c r="D3" s="8"/>
      <c r="E3" s="8"/>
      <c r="F3" s="8"/>
      <c r="G3" s="8"/>
      <c r="H3" s="8"/>
      <c r="I3" s="8"/>
      <c r="J3" s="8"/>
      <c r="K3" s="8"/>
      <c r="L3" s="9"/>
    </row>
    <row r="4" spans="1:12" s="16" customFormat="1" ht="35.4" thickTop="1" x14ac:dyDescent="0.3">
      <c r="A4" s="10" t="s">
        <v>1</v>
      </c>
      <c r="B4" s="11" t="s">
        <v>2</v>
      </c>
      <c r="C4" s="12" t="s">
        <v>3</v>
      </c>
      <c r="D4" s="12" t="s">
        <v>4</v>
      </c>
      <c r="E4" s="12" t="s">
        <v>5</v>
      </c>
      <c r="F4" s="13" t="s">
        <v>6</v>
      </c>
      <c r="G4" s="12" t="s">
        <v>7</v>
      </c>
      <c r="H4" s="13" t="s">
        <v>8</v>
      </c>
      <c r="I4" s="12" t="s">
        <v>9</v>
      </c>
      <c r="J4" s="14" t="s">
        <v>10</v>
      </c>
      <c r="K4" s="14" t="s">
        <v>11</v>
      </c>
      <c r="L4" s="15" t="s">
        <v>12</v>
      </c>
    </row>
    <row r="5" spans="1:12" s="16" customFormat="1" ht="17.399999999999999" x14ac:dyDescent="0.3">
      <c r="A5" s="17"/>
      <c r="B5" s="18"/>
      <c r="C5" s="19"/>
      <c r="D5" s="19"/>
      <c r="E5" s="19"/>
      <c r="F5" s="20"/>
      <c r="G5" s="19"/>
      <c r="H5" s="21"/>
      <c r="I5" s="22"/>
      <c r="J5" s="23"/>
      <c r="K5" s="24"/>
      <c r="L5" s="25"/>
    </row>
    <row r="6" spans="1:12" ht="27.6" x14ac:dyDescent="0.3">
      <c r="A6" s="26">
        <f>IFERROR(LOOKUP(2,1/(ISNUMBER($A$4:$A$5)),$A$4:$A$5),0)+1</f>
        <v>1</v>
      </c>
      <c r="B6" s="27" t="s">
        <v>13</v>
      </c>
      <c r="C6" s="28" t="s">
        <v>14</v>
      </c>
      <c r="D6" s="29"/>
      <c r="E6" s="30"/>
      <c r="F6" s="30"/>
      <c r="G6" s="30"/>
      <c r="H6" s="31"/>
      <c r="I6" s="32"/>
      <c r="J6" s="33"/>
      <c r="K6" s="34"/>
      <c r="L6" s="35"/>
    </row>
    <row r="7" spans="1:12" ht="15.6" x14ac:dyDescent="0.3">
      <c r="A7" s="26"/>
      <c r="B7" s="36"/>
      <c r="C7" s="37"/>
      <c r="D7" s="38">
        <v>1</v>
      </c>
      <c r="E7" s="39">
        <v>400</v>
      </c>
      <c r="F7" s="39">
        <v>15</v>
      </c>
      <c r="G7" s="39"/>
      <c r="H7" s="40">
        <f>D7*IF(OR(E7=0,E7="-"),1,E7)*IF(OR(F7=0,F7="-"),1,F7)*IF(OR(G7=0,G7="-"),1,G7)</f>
        <v>6000</v>
      </c>
      <c r="I7" s="41" t="s">
        <v>15</v>
      </c>
      <c r="J7" s="42"/>
      <c r="K7" s="43"/>
      <c r="L7" s="44"/>
    </row>
    <row r="8" spans="1:12" ht="15.6" x14ac:dyDescent="0.3">
      <c r="A8" s="26"/>
      <c r="B8" s="36"/>
      <c r="C8" s="37"/>
      <c r="D8" s="38">
        <v>1</v>
      </c>
      <c r="E8" s="39">
        <v>400</v>
      </c>
      <c r="F8" s="39">
        <v>15.5</v>
      </c>
      <c r="G8" s="39"/>
      <c r="H8" s="40">
        <f>D8*IF(OR(E8=0,E8="-"),1,E8)*IF(OR(F8=0,F8="-"),1,F8)*IF(OR(G8=0,G8="-"),1,G8)</f>
        <v>6200</v>
      </c>
      <c r="I8" s="41" t="s">
        <v>15</v>
      </c>
      <c r="J8" s="42"/>
      <c r="K8" s="43"/>
      <c r="L8" s="44"/>
    </row>
    <row r="9" spans="1:12" ht="15.6" x14ac:dyDescent="0.3">
      <c r="A9" s="26"/>
      <c r="B9" s="36"/>
      <c r="C9" s="37"/>
      <c r="D9" s="38">
        <v>1</v>
      </c>
      <c r="E9" s="39">
        <v>120</v>
      </c>
      <c r="F9" s="39">
        <v>15</v>
      </c>
      <c r="G9" s="39"/>
      <c r="H9" s="40">
        <f>D9*IF(OR(E9=0,E9="-"),1,E9)*IF(OR(F9=0,F9="-"),1,F9)*IF(OR(G9=0,G9="-"),1,G9)</f>
        <v>1800</v>
      </c>
      <c r="I9" s="41" t="s">
        <v>15</v>
      </c>
      <c r="J9" s="42"/>
      <c r="K9" s="43"/>
      <c r="L9" s="44"/>
    </row>
    <row r="10" spans="1:12" ht="15.6" x14ac:dyDescent="0.3">
      <c r="A10" s="26"/>
      <c r="B10" s="36"/>
      <c r="C10" s="37"/>
      <c r="D10" s="38">
        <v>1</v>
      </c>
      <c r="E10" s="39">
        <v>100</v>
      </c>
      <c r="F10" s="39">
        <v>15</v>
      </c>
      <c r="G10" s="39"/>
      <c r="H10" s="40">
        <f>D10*IF(OR(E10=0,E10="-"),1,E10)*IF(OR(F10=0,F10="-"),1,F10)*IF(OR(G10=0,G10="-"),1,G10)</f>
        <v>1500</v>
      </c>
      <c r="I10" s="41" t="s">
        <v>15</v>
      </c>
      <c r="J10" s="42"/>
      <c r="K10" s="43"/>
      <c r="L10" s="44"/>
    </row>
    <row r="11" spans="1:12" ht="15.6" x14ac:dyDescent="0.3">
      <c r="A11" s="45"/>
      <c r="B11" s="46"/>
      <c r="C11" s="47"/>
      <c r="D11" s="46"/>
      <c r="E11" s="46"/>
      <c r="F11" s="48" t="s">
        <v>16</v>
      </c>
      <c r="G11" s="48"/>
      <c r="H11" s="49">
        <f>SUM(H7:INDEX(H:H,ROW()-1))</f>
        <v>15500</v>
      </c>
      <c r="I11" s="50" t="s">
        <v>15</v>
      </c>
      <c r="J11" s="51"/>
      <c r="K11" s="52" t="str">
        <f>""</f>
        <v/>
      </c>
      <c r="L11" s="53"/>
    </row>
    <row r="12" spans="1:12" ht="31.2" x14ac:dyDescent="0.3">
      <c r="A12" s="54"/>
      <c r="B12" s="55"/>
      <c r="C12" s="56"/>
      <c r="D12" s="55"/>
      <c r="E12" s="57" t="s">
        <v>17</v>
      </c>
      <c r="F12" s="57"/>
      <c r="G12" s="57"/>
      <c r="H12" s="58">
        <f>ROUND(H11*0.0929,3)</f>
        <v>1439.95</v>
      </c>
      <c r="I12" s="56" t="s">
        <v>18</v>
      </c>
      <c r="J12" s="51" t="s">
        <v>19</v>
      </c>
      <c r="K12" s="59">
        <f>IF(B6="14.1",_xlfn.IFS(J12="Labour Rate",4,J12="Through Rate",4,TRUE,""),"")</f>
        <v>4</v>
      </c>
      <c r="L12" s="60">
        <f>IF(H12*K12&lt;&gt;0,H12*K12,0)</f>
        <v>5759.8</v>
      </c>
    </row>
    <row r="13" spans="1:12" ht="13.95" customHeight="1" x14ac:dyDescent="0.3">
      <c r="A13" s="61"/>
      <c r="B13" s="62"/>
      <c r="C13" s="63"/>
      <c r="D13" s="64"/>
      <c r="E13" s="64"/>
      <c r="F13" s="64"/>
      <c r="G13" s="64"/>
      <c r="H13" s="31"/>
      <c r="I13" s="65"/>
      <c r="J13" s="33"/>
      <c r="K13" s="34"/>
      <c r="L13" s="66"/>
    </row>
    <row r="14" spans="1:12" ht="41.4" x14ac:dyDescent="0.3">
      <c r="A14" s="26">
        <f>IFERROR(LOOKUP(2,1/(ISNUMBER($A$4:$A$13)),$A$4:$A$13),0)+1</f>
        <v>2</v>
      </c>
      <c r="B14" s="27" t="s">
        <v>20</v>
      </c>
      <c r="C14" s="67" t="s">
        <v>21</v>
      </c>
      <c r="D14" s="29"/>
      <c r="E14" s="30"/>
      <c r="F14" s="30"/>
      <c r="G14" s="30"/>
      <c r="H14" s="31"/>
      <c r="I14" s="32"/>
      <c r="J14" s="33"/>
      <c r="K14" s="34"/>
      <c r="L14" s="35"/>
    </row>
    <row r="15" spans="1:12" ht="15.6" x14ac:dyDescent="0.3">
      <c r="A15" s="26"/>
      <c r="B15" s="36"/>
      <c r="C15" s="37"/>
      <c r="D15" s="38">
        <v>1</v>
      </c>
      <c r="E15" s="39">
        <v>400</v>
      </c>
      <c r="F15" s="39">
        <v>15</v>
      </c>
      <c r="G15" s="68"/>
      <c r="H15" s="69">
        <f>D15*IF(OR(E15=0,E15="-"),1,E15)*IF(OR(F15=0,F15="-"),1,F15)*IF(OR(G15=0,G15="-"),1,G15)</f>
        <v>6000</v>
      </c>
      <c r="I15" s="41" t="s">
        <v>15</v>
      </c>
      <c r="J15" s="42"/>
      <c r="K15" s="43"/>
      <c r="L15" s="44"/>
    </row>
    <row r="16" spans="1:12" ht="15.6" x14ac:dyDescent="0.3">
      <c r="A16" s="26"/>
      <c r="B16" s="36"/>
      <c r="C16" s="37"/>
      <c r="D16" s="38">
        <v>1</v>
      </c>
      <c r="E16" s="39">
        <v>400</v>
      </c>
      <c r="F16" s="39">
        <v>15.5</v>
      </c>
      <c r="G16" s="68"/>
      <c r="H16" s="69">
        <f>D16*IF(OR(E16=0,E16="-"),1,E16)*IF(OR(F16=0,F16="-"),1,F16)*IF(OR(G16=0,G16="-"),1,G16)</f>
        <v>6200</v>
      </c>
      <c r="I16" s="41" t="s">
        <v>15</v>
      </c>
      <c r="J16" s="42"/>
      <c r="K16" s="43"/>
      <c r="L16" s="44"/>
    </row>
    <row r="17" spans="1:14" ht="15.6" x14ac:dyDescent="0.3">
      <c r="A17" s="26"/>
      <c r="B17" s="36"/>
      <c r="C17" s="37"/>
      <c r="D17" s="38">
        <v>1</v>
      </c>
      <c r="E17" s="39">
        <v>120</v>
      </c>
      <c r="F17" s="39">
        <v>15</v>
      </c>
      <c r="G17" s="68"/>
      <c r="H17" s="69">
        <f>D17*IF(OR(E17=0,E17="-"),1,E17)*IF(OR(F17=0,F17="-"),1,F17)*IF(OR(G17=0,G17="-"),1,G17)</f>
        <v>1800</v>
      </c>
      <c r="I17" s="41" t="s">
        <v>15</v>
      </c>
      <c r="J17" s="42"/>
      <c r="K17" s="43"/>
      <c r="L17" s="44"/>
    </row>
    <row r="18" spans="1:14" ht="15.6" x14ac:dyDescent="0.3">
      <c r="A18" s="26"/>
      <c r="B18" s="36"/>
      <c r="C18" s="37"/>
      <c r="D18" s="38">
        <v>1</v>
      </c>
      <c r="E18" s="39">
        <v>100</v>
      </c>
      <c r="F18" s="39">
        <v>15</v>
      </c>
      <c r="G18" s="68"/>
      <c r="H18" s="69">
        <f>D18*IF(OR(E18=0,E18="-"),1,E18)*IF(OR(F18=0,F18="-"),1,F18)*IF(OR(G18=0,G18="-"),1,G18)</f>
        <v>1500</v>
      </c>
      <c r="I18" s="41" t="s">
        <v>15</v>
      </c>
      <c r="J18" s="42"/>
      <c r="K18" s="43"/>
      <c r="L18" s="44"/>
    </row>
    <row r="19" spans="1:14" ht="15.6" x14ac:dyDescent="0.3">
      <c r="A19" s="45"/>
      <c r="B19" s="46"/>
      <c r="C19" s="70"/>
      <c r="D19" s="71"/>
      <c r="E19" s="72"/>
      <c r="F19" s="73" t="s">
        <v>16</v>
      </c>
      <c r="G19" s="73"/>
      <c r="H19" s="58">
        <f>SUM(H15:INDEX(H:H,ROW()-1))</f>
        <v>15500</v>
      </c>
      <c r="I19" s="50" t="s">
        <v>15</v>
      </c>
      <c r="J19" s="51"/>
      <c r="K19" s="52"/>
      <c r="L19" s="53"/>
    </row>
    <row r="20" spans="1:14" ht="15.6" x14ac:dyDescent="0.3">
      <c r="A20" s="54"/>
      <c r="B20" s="55"/>
      <c r="C20" s="74"/>
      <c r="D20" s="75"/>
      <c r="E20" s="76" t="s">
        <v>17</v>
      </c>
      <c r="F20" s="76"/>
      <c r="G20" s="76"/>
      <c r="H20" s="58">
        <f>ROUND(H19*0.0929,3)</f>
        <v>1439.95</v>
      </c>
      <c r="I20" s="56" t="s">
        <v>18</v>
      </c>
      <c r="J20" s="51"/>
      <c r="K20" s="52"/>
      <c r="L20" s="60"/>
      <c r="M20" s="77"/>
      <c r="N20" s="77"/>
    </row>
    <row r="21" spans="1:14" ht="31.2" x14ac:dyDescent="0.3">
      <c r="A21" s="54"/>
      <c r="B21" s="55"/>
      <c r="C21" s="74"/>
      <c r="D21" s="75"/>
      <c r="E21" s="78" t="s">
        <v>22</v>
      </c>
      <c r="F21" s="78"/>
      <c r="G21" s="78"/>
      <c r="H21" s="79">
        <f>H20/10</f>
        <v>143.995</v>
      </c>
      <c r="I21" s="56" t="s">
        <v>23</v>
      </c>
      <c r="J21" s="51" t="s">
        <v>19</v>
      </c>
      <c r="K21" s="52">
        <f>IF(B14="21.14",_xlfn.IFS(J21="Labour Rate",980,J21="Material Rate",3540,J21="Through Rate",4519,TRUE,""),"")</f>
        <v>4519</v>
      </c>
      <c r="L21" s="60">
        <f>IF(H21*K21&lt;&gt;0,H21*K21,0)</f>
        <v>650713.40500000003</v>
      </c>
      <c r="M21" s="77"/>
      <c r="N21" s="77"/>
    </row>
    <row r="22" spans="1:14" ht="13.95" customHeight="1" x14ac:dyDescent="0.3">
      <c r="A22" s="61"/>
      <c r="B22" s="62"/>
      <c r="C22" s="80"/>
      <c r="D22" s="62"/>
      <c r="E22" s="62"/>
      <c r="F22" s="81"/>
      <c r="G22" s="81"/>
      <c r="H22" s="82"/>
      <c r="I22" s="65"/>
      <c r="J22" s="83"/>
      <c r="K22" s="84"/>
      <c r="L22" s="66"/>
    </row>
    <row r="23" spans="1:14" ht="27.6" x14ac:dyDescent="0.3">
      <c r="A23" s="26">
        <f>IFERROR(LOOKUP(2,1/(ISNUMBER($A$4:$A$22)),$A$4:$A$22),0)+1</f>
        <v>3</v>
      </c>
      <c r="B23" s="27" t="s">
        <v>24</v>
      </c>
      <c r="C23" s="85" t="s">
        <v>25</v>
      </c>
      <c r="D23" s="29"/>
      <c r="E23" s="30"/>
      <c r="F23" s="30"/>
      <c r="G23" s="30"/>
      <c r="H23" s="31"/>
      <c r="I23" s="32"/>
      <c r="J23" s="33"/>
      <c r="K23" s="86"/>
      <c r="L23" s="35"/>
    </row>
    <row r="24" spans="1:14" ht="13.95" customHeight="1" x14ac:dyDescent="0.3">
      <c r="A24" s="87"/>
      <c r="B24" s="36"/>
      <c r="C24" s="37"/>
      <c r="D24" s="68">
        <v>2</v>
      </c>
      <c r="E24" s="68">
        <v>400</v>
      </c>
      <c r="F24" s="68"/>
      <c r="G24" s="68"/>
      <c r="H24" s="69">
        <f>D24*IF(OR(E24=0,E24="-"),1,E24)*IF(OR(F24=0,F24="-"),1,F24)*IF(OR(G24=0,G24="-"),1,G24)</f>
        <v>800</v>
      </c>
      <c r="I24" s="41" t="s">
        <v>26</v>
      </c>
      <c r="J24" s="42"/>
      <c r="K24" s="59"/>
      <c r="L24" s="44"/>
    </row>
    <row r="25" spans="1:14" ht="14.4" customHeight="1" x14ac:dyDescent="0.3">
      <c r="A25" s="45"/>
      <c r="B25" s="88"/>
      <c r="C25" s="89"/>
      <c r="D25" s="88"/>
      <c r="E25" s="89"/>
      <c r="F25" s="90" t="s">
        <v>27</v>
      </c>
      <c r="G25" s="90"/>
      <c r="H25" s="91">
        <f>SUM(H24:INDEX(H:H,ROW()-1))</f>
        <v>800</v>
      </c>
      <c r="I25" s="92" t="s">
        <v>26</v>
      </c>
      <c r="J25" s="93"/>
      <c r="K25" s="94" t="str">
        <f>""</f>
        <v/>
      </c>
      <c r="L25" s="95"/>
    </row>
    <row r="26" spans="1:14" s="77" customFormat="1" ht="28.8" x14ac:dyDescent="0.3">
      <c r="A26" s="96" t="s">
        <v>28</v>
      </c>
      <c r="B26" s="97"/>
      <c r="C26" s="98"/>
      <c r="D26" s="97"/>
      <c r="E26" s="99" t="s">
        <v>29</v>
      </c>
      <c r="F26" s="99"/>
      <c r="G26" s="99"/>
      <c r="H26" s="100">
        <f>ROUND(H25*0.3048,3)</f>
        <v>243.84</v>
      </c>
      <c r="I26" s="101" t="s">
        <v>30</v>
      </c>
      <c r="J26" s="93" t="s">
        <v>19</v>
      </c>
      <c r="K26" s="102">
        <f>IF(B23="10.36",_xlfn.IFS(J26="Labour Rate",7,J26="Material Rate",47,J26="Through Rate",54,TRUE,""),"")</f>
        <v>54</v>
      </c>
      <c r="L26" s="103">
        <f>IF(H26*K26&lt;&gt;0,H26*K26,0)</f>
        <v>13167.36</v>
      </c>
    </row>
    <row r="27" spans="1:14" ht="13.95" customHeight="1" thickBot="1" x14ac:dyDescent="0.35">
      <c r="A27" s="104"/>
      <c r="B27" s="105"/>
      <c r="C27" s="106"/>
      <c r="D27" s="107"/>
      <c r="E27" s="106"/>
      <c r="F27" s="106"/>
      <c r="G27" s="106"/>
      <c r="H27" s="107"/>
      <c r="I27" s="106"/>
      <c r="J27" s="106"/>
      <c r="K27" s="107"/>
      <c r="L27" s="108"/>
    </row>
    <row r="28" spans="1:14" ht="14.4" customHeight="1" thickTop="1" x14ac:dyDescent="0.3">
      <c r="H28"/>
      <c r="I28"/>
      <c r="J28" s="111" t="s">
        <v>31</v>
      </c>
      <c r="K28" s="112"/>
      <c r="L28" s="113">
        <f>SUM(L5:INDEX(L:L,ROW()-1))</f>
        <v>669640.56500000006</v>
      </c>
    </row>
    <row r="29" spans="1:14" ht="14.4" customHeight="1" x14ac:dyDescent="0.3">
      <c r="H29"/>
      <c r="I29"/>
      <c r="J29" s="114" t="s">
        <v>32</v>
      </c>
      <c r="K29" s="115"/>
      <c r="L29" s="116">
        <f>$L$28*0.18</f>
        <v>120535.30170000001</v>
      </c>
    </row>
    <row r="30" spans="1:14" ht="14.4" customHeight="1" x14ac:dyDescent="0.3">
      <c r="H30"/>
      <c r="I30"/>
      <c r="J30" s="114" t="s">
        <v>33</v>
      </c>
      <c r="K30" s="115"/>
      <c r="L30" s="116">
        <f>$L$28+$L$29</f>
        <v>790175.86670000013</v>
      </c>
    </row>
    <row r="31" spans="1:14" ht="14.4" customHeight="1" x14ac:dyDescent="0.3">
      <c r="H31"/>
      <c r="I31"/>
      <c r="J31" s="114" t="s">
        <v>34</v>
      </c>
      <c r="K31" s="115"/>
      <c r="L31" s="116">
        <f>$L$30*0.01</f>
        <v>7901.7586670000019</v>
      </c>
    </row>
    <row r="32" spans="1:14" ht="14.4" customHeight="1" thickBot="1" x14ac:dyDescent="0.35">
      <c r="H32"/>
      <c r="I32"/>
      <c r="J32" s="117" t="s">
        <v>35</v>
      </c>
      <c r="K32" s="118"/>
      <c r="L32" s="119">
        <f>$L$30+$L$31</f>
        <v>798077.62536700012</v>
      </c>
    </row>
    <row r="33" spans="5:13" ht="14.4" customHeight="1" thickTop="1" x14ac:dyDescent="0.3">
      <c r="H33"/>
      <c r="I33"/>
      <c r="J33" s="120" t="s">
        <v>36</v>
      </c>
      <c r="K33" s="121"/>
      <c r="L33" s="109"/>
    </row>
    <row r="34" spans="5:13" ht="36" x14ac:dyDescent="0.3">
      <c r="H34"/>
      <c r="I34" s="122" t="s">
        <v>37</v>
      </c>
      <c r="J34" s="123" t="str">
        <f>IF(L32&gt;=10000000,ROUND(L32/10000000,2)&amp;" Crore",IF(L32&gt;=100000,ROUND(L32/100000,2)&amp;" Lakh",IF(L32&gt;=1000,ROUND(L32/1000,2)&amp;" Thousand",ROUND(L32,0)))) &amp; " Only"</f>
        <v>7.98 Lakh Only</v>
      </c>
      <c r="K34" s="124"/>
      <c r="L34" s="124"/>
    </row>
    <row r="35" spans="5:13" ht="14.4" customHeight="1" x14ac:dyDescent="0.3">
      <c r="L35" s="77"/>
    </row>
    <row r="36" spans="5:13" x14ac:dyDescent="0.3"/>
    <row r="37" spans="5:13" x14ac:dyDescent="0.3"/>
    <row r="38" spans="5:13" x14ac:dyDescent="0.3"/>
    <row r="39" spans="5:13" x14ac:dyDescent="0.3"/>
    <row r="40" spans="5:13" x14ac:dyDescent="0.3"/>
    <row r="41" spans="5:13" x14ac:dyDescent="0.3"/>
    <row r="42" spans="5:13" x14ac:dyDescent="0.3"/>
    <row r="43" spans="5:13" x14ac:dyDescent="0.3"/>
    <row r="44" spans="5:13" x14ac:dyDescent="0.3"/>
    <row r="45" spans="5:13" x14ac:dyDescent="0.3"/>
    <row r="46" spans="5:13" ht="34.799999999999997" x14ac:dyDescent="0.3">
      <c r="E46"/>
      <c r="F46" s="127" t="s">
        <v>38</v>
      </c>
      <c r="G46" s="127"/>
      <c r="H46" s="128" t="s">
        <v>8</v>
      </c>
      <c r="I46" s="128" t="s">
        <v>9</v>
      </c>
      <c r="J46" s="128" t="s">
        <v>11</v>
      </c>
      <c r="K46" s="128" t="s">
        <v>39</v>
      </c>
      <c r="L46" s="128" t="s">
        <v>12</v>
      </c>
      <c r="M46" s="128" t="s">
        <v>40</v>
      </c>
    </row>
    <row r="47" spans="5:13" ht="14.4" customHeight="1" x14ac:dyDescent="0.3">
      <c r="E47"/>
      <c r="F47"/>
      <c r="G47"/>
      <c r="H47"/>
      <c r="I47"/>
      <c r="J47"/>
      <c r="K47"/>
      <c r="L47"/>
    </row>
    <row r="48" spans="5:13" ht="14.4" customHeight="1" x14ac:dyDescent="0.3">
      <c r="E48"/>
      <c r="F48"/>
      <c r="G48"/>
      <c r="H48"/>
      <c r="I48"/>
      <c r="J48"/>
      <c r="K48"/>
      <c r="L48"/>
    </row>
    <row r="49" spans="5:12" ht="14.4" customHeight="1" x14ac:dyDescent="0.3">
      <c r="E49"/>
      <c r="F49"/>
      <c r="G49"/>
      <c r="H49"/>
      <c r="I49"/>
      <c r="J49"/>
      <c r="K49"/>
      <c r="L49"/>
    </row>
    <row r="50" spans="5:12" ht="14.4" hidden="1" customHeight="1" x14ac:dyDescent="0.3">
      <c r="E50"/>
      <c r="F50"/>
      <c r="G50"/>
      <c r="H50"/>
      <c r="I50"/>
      <c r="J50"/>
      <c r="K50"/>
      <c r="L50"/>
    </row>
    <row r="51" spans="5:12" ht="14.4" hidden="1" customHeight="1" x14ac:dyDescent="0.3">
      <c r="E51"/>
      <c r="F51"/>
      <c r="G51"/>
      <c r="H51"/>
      <c r="I51"/>
      <c r="J51"/>
      <c r="K51"/>
      <c r="L51"/>
    </row>
    <row r="52" spans="5:12" ht="14.4" hidden="1" customHeight="1" x14ac:dyDescent="0.3">
      <c r="E52"/>
      <c r="F52"/>
      <c r="G52"/>
      <c r="H52"/>
      <c r="I52"/>
      <c r="J52"/>
      <c r="K52"/>
      <c r="L52"/>
    </row>
    <row r="53" spans="5:12" ht="14.4" hidden="1" customHeight="1" x14ac:dyDescent="0.3">
      <c r="E53"/>
      <c r="F53"/>
      <c r="G53"/>
      <c r="H53"/>
      <c r="I53"/>
      <c r="J53"/>
      <c r="K53"/>
      <c r="L53"/>
    </row>
    <row r="54" spans="5:12" ht="14.4" hidden="1" customHeight="1" x14ac:dyDescent="0.3">
      <c r="E54"/>
      <c r="F54"/>
      <c r="G54"/>
      <c r="H54"/>
      <c r="I54"/>
      <c r="J54"/>
      <c r="K54"/>
      <c r="L54"/>
    </row>
    <row r="55" spans="5:12" ht="14.4" hidden="1" customHeight="1" x14ac:dyDescent="0.3">
      <c r="E55"/>
      <c r="F55"/>
      <c r="G55"/>
      <c r="H55"/>
      <c r="I55"/>
      <c r="J55"/>
      <c r="K55"/>
      <c r="L55"/>
    </row>
    <row r="56" spans="5:12" ht="14.4" hidden="1" customHeight="1" x14ac:dyDescent="0.3">
      <c r="E56"/>
      <c r="F56"/>
      <c r="G56"/>
      <c r="H56"/>
      <c r="I56"/>
      <c r="J56"/>
      <c r="K56"/>
      <c r="L56"/>
    </row>
    <row r="57" spans="5:12" ht="14.4" hidden="1" customHeight="1" x14ac:dyDescent="0.3">
      <c r="E57"/>
      <c r="F57"/>
      <c r="G57"/>
      <c r="H57"/>
      <c r="I57"/>
      <c r="J57"/>
      <c r="K57"/>
      <c r="L57"/>
    </row>
    <row r="58" spans="5:12" ht="14.4" hidden="1" customHeight="1" x14ac:dyDescent="0.3">
      <c r="E58"/>
      <c r="F58"/>
      <c r="G58"/>
      <c r="H58"/>
      <c r="I58"/>
      <c r="J58"/>
      <c r="K58"/>
      <c r="L58"/>
    </row>
    <row r="59" spans="5:12" ht="14.4" hidden="1" customHeight="1" x14ac:dyDescent="0.3">
      <c r="E59"/>
      <c r="F59"/>
      <c r="G59"/>
      <c r="H59"/>
      <c r="I59"/>
      <c r="J59"/>
      <c r="K59"/>
      <c r="L59"/>
    </row>
    <row r="60" spans="5:12" ht="14.4" hidden="1" customHeight="1" x14ac:dyDescent="0.3">
      <c r="E60"/>
      <c r="F60"/>
      <c r="G60"/>
      <c r="H60"/>
      <c r="I60"/>
      <c r="J60"/>
      <c r="K60"/>
      <c r="L60"/>
    </row>
    <row r="61" spans="5:12" ht="14.4" hidden="1" customHeight="1" x14ac:dyDescent="0.3">
      <c r="E61"/>
      <c r="F61"/>
      <c r="G61"/>
      <c r="H61"/>
      <c r="I61"/>
      <c r="J61"/>
      <c r="K61"/>
      <c r="L61"/>
    </row>
    <row r="62" spans="5:12" ht="14.4" hidden="1" customHeight="1" x14ac:dyDescent="0.3">
      <c r="E62"/>
      <c r="F62"/>
      <c r="G62"/>
      <c r="H62"/>
      <c r="I62"/>
      <c r="J62"/>
      <c r="K62"/>
      <c r="L62"/>
    </row>
    <row r="63" spans="5:12" ht="14.4" hidden="1" customHeight="1" x14ac:dyDescent="0.3">
      <c r="E63"/>
      <c r="F63"/>
      <c r="G63"/>
      <c r="H63"/>
      <c r="I63"/>
      <c r="J63"/>
      <c r="K63"/>
      <c r="L63"/>
    </row>
    <row r="64" spans="5:12" ht="14.4" hidden="1" customHeight="1" x14ac:dyDescent="0.3">
      <c r="E64"/>
      <c r="F64"/>
      <c r="G64"/>
      <c r="H64"/>
      <c r="I64"/>
      <c r="J64"/>
      <c r="K64"/>
      <c r="L64"/>
    </row>
    <row r="65" spans="5:12" ht="14.4" hidden="1" customHeight="1" x14ac:dyDescent="0.3">
      <c r="E65"/>
      <c r="F65"/>
      <c r="G65"/>
      <c r="H65"/>
      <c r="I65"/>
      <c r="J65"/>
      <c r="K65"/>
      <c r="L65"/>
    </row>
    <row r="66" spans="5:12" ht="14.4" hidden="1" customHeight="1" x14ac:dyDescent="0.3">
      <c r="E66"/>
      <c r="F66"/>
      <c r="G66"/>
      <c r="H66"/>
      <c r="I66"/>
      <c r="J66"/>
      <c r="K66"/>
      <c r="L66"/>
    </row>
    <row r="67" spans="5:12" ht="14.4" hidden="1" customHeight="1" x14ac:dyDescent="0.3">
      <c r="E67"/>
      <c r="F67"/>
      <c r="G67"/>
      <c r="H67"/>
      <c r="I67"/>
      <c r="J67"/>
      <c r="K67"/>
      <c r="L67"/>
    </row>
    <row r="68" spans="5:12" ht="14.4" hidden="1" customHeight="1" x14ac:dyDescent="0.3">
      <c r="E68"/>
      <c r="F68"/>
      <c r="G68"/>
      <c r="H68"/>
      <c r="I68"/>
      <c r="J68"/>
      <c r="K68"/>
      <c r="L68"/>
    </row>
    <row r="69" spans="5:12" ht="14.4" hidden="1" customHeight="1" x14ac:dyDescent="0.3">
      <c r="E69"/>
      <c r="F69"/>
      <c r="G69"/>
      <c r="H69"/>
      <c r="I69"/>
      <c r="J69"/>
      <c r="K69"/>
      <c r="L69"/>
    </row>
    <row r="70" spans="5:12" ht="14.4" hidden="1" customHeight="1" x14ac:dyDescent="0.3">
      <c r="E70"/>
      <c r="F70"/>
      <c r="G70"/>
      <c r="H70"/>
      <c r="I70"/>
      <c r="J70"/>
      <c r="K70"/>
      <c r="L70"/>
    </row>
    <row r="71" spans="5:12" ht="14.4" hidden="1" customHeight="1" x14ac:dyDescent="0.3">
      <c r="E71"/>
      <c r="F71"/>
      <c r="G71"/>
      <c r="H71"/>
      <c r="I71"/>
      <c r="J71"/>
      <c r="K71"/>
      <c r="L71"/>
    </row>
    <row r="72" spans="5:12" ht="14.4" hidden="1" customHeight="1" x14ac:dyDescent="0.3">
      <c r="E72"/>
      <c r="F72"/>
      <c r="G72"/>
      <c r="H72"/>
      <c r="I72"/>
      <c r="J72"/>
      <c r="K72"/>
      <c r="L72"/>
    </row>
    <row r="73" spans="5:12" ht="14.4" hidden="1" customHeight="1" x14ac:dyDescent="0.3">
      <c r="E73"/>
      <c r="F73"/>
      <c r="G73"/>
      <c r="H73"/>
      <c r="I73"/>
      <c r="J73"/>
      <c r="K73"/>
      <c r="L73"/>
    </row>
    <row r="74" spans="5:12" ht="14.4" hidden="1" customHeight="1" x14ac:dyDescent="0.3">
      <c r="E74"/>
      <c r="F74"/>
      <c r="G74"/>
      <c r="H74"/>
      <c r="I74"/>
      <c r="J74"/>
      <c r="K74"/>
      <c r="L74"/>
    </row>
    <row r="75" spans="5:12" ht="14.4" hidden="1" customHeight="1" x14ac:dyDescent="0.3">
      <c r="E75"/>
      <c r="F75"/>
      <c r="G75"/>
      <c r="H75"/>
      <c r="I75"/>
      <c r="J75"/>
      <c r="K75"/>
      <c r="L75"/>
    </row>
    <row r="76" spans="5:12" ht="14.4" hidden="1" customHeight="1" x14ac:dyDescent="0.3">
      <c r="E76"/>
      <c r="F76"/>
      <c r="G76"/>
      <c r="H76"/>
      <c r="I76"/>
      <c r="J76"/>
      <c r="K76"/>
      <c r="L76"/>
    </row>
    <row r="77" spans="5:12" ht="14.4" hidden="1" customHeight="1" x14ac:dyDescent="0.3">
      <c r="E77"/>
      <c r="F77"/>
      <c r="G77"/>
      <c r="H77"/>
      <c r="I77"/>
      <c r="J77"/>
      <c r="K77"/>
      <c r="L77"/>
    </row>
    <row r="78" spans="5:12" ht="14.4" hidden="1" customHeight="1" x14ac:dyDescent="0.3">
      <c r="E78"/>
      <c r="F78"/>
      <c r="G78"/>
      <c r="H78"/>
      <c r="I78"/>
      <c r="J78"/>
      <c r="K78"/>
      <c r="L78"/>
    </row>
    <row r="79" spans="5:12" ht="14.4" hidden="1" customHeight="1" x14ac:dyDescent="0.3">
      <c r="E79"/>
      <c r="F79"/>
      <c r="G79"/>
      <c r="H79"/>
      <c r="I79"/>
      <c r="J79"/>
      <c r="K79"/>
      <c r="L79"/>
    </row>
    <row r="80" spans="5:12" ht="14.4" hidden="1" customHeight="1" x14ac:dyDescent="0.3">
      <c r="E80"/>
      <c r="F80"/>
      <c r="G80"/>
      <c r="H80"/>
      <c r="I80"/>
      <c r="J80"/>
      <c r="K80"/>
      <c r="L80"/>
    </row>
    <row r="81" spans="5:12" ht="14.4" hidden="1" customHeight="1" x14ac:dyDescent="0.3">
      <c r="E81"/>
      <c r="F81"/>
      <c r="G81"/>
      <c r="H81"/>
      <c r="I81"/>
      <c r="J81"/>
      <c r="K81"/>
      <c r="L81"/>
    </row>
    <row r="82" spans="5:12" ht="14.4" hidden="1" customHeight="1" x14ac:dyDescent="0.3">
      <c r="E82"/>
      <c r="F82"/>
      <c r="G82"/>
      <c r="H82"/>
      <c r="I82"/>
      <c r="J82"/>
      <c r="K82"/>
      <c r="L82"/>
    </row>
    <row r="83" spans="5:12" ht="14.4" hidden="1" customHeight="1" x14ac:dyDescent="0.3">
      <c r="E83"/>
      <c r="F83"/>
      <c r="G83"/>
      <c r="H83"/>
      <c r="I83"/>
      <c r="J83"/>
      <c r="K83"/>
      <c r="L83"/>
    </row>
    <row r="84" spans="5:12" ht="14.4" hidden="1" customHeight="1" x14ac:dyDescent="0.3">
      <c r="E84"/>
      <c r="F84"/>
      <c r="G84"/>
      <c r="H84"/>
      <c r="I84"/>
      <c r="J84"/>
      <c r="K84"/>
      <c r="L84"/>
    </row>
    <row r="85" spans="5:12" ht="14.4" hidden="1" customHeight="1" x14ac:dyDescent="0.3">
      <c r="E85"/>
      <c r="F85"/>
      <c r="G85"/>
      <c r="H85"/>
      <c r="I85"/>
      <c r="J85"/>
      <c r="K85"/>
      <c r="L85"/>
    </row>
    <row r="86" spans="5:12" ht="14.4" hidden="1" customHeight="1" x14ac:dyDescent="0.3">
      <c r="E86"/>
      <c r="F86"/>
      <c r="G86"/>
      <c r="H86"/>
      <c r="I86"/>
      <c r="J86"/>
      <c r="K86"/>
      <c r="L86"/>
    </row>
    <row r="87" spans="5:12" ht="14.4" hidden="1" customHeight="1" x14ac:dyDescent="0.3">
      <c r="E87"/>
      <c r="F87"/>
      <c r="G87"/>
      <c r="H87"/>
      <c r="I87"/>
      <c r="J87"/>
      <c r="K87"/>
      <c r="L87"/>
    </row>
    <row r="88" spans="5:12" ht="14.4" hidden="1" customHeight="1" x14ac:dyDescent="0.3">
      <c r="E88"/>
      <c r="F88"/>
      <c r="G88"/>
      <c r="H88"/>
      <c r="I88"/>
      <c r="J88"/>
      <c r="K88"/>
      <c r="L88"/>
    </row>
    <row r="89" spans="5:12" ht="14.4" hidden="1" customHeight="1" x14ac:dyDescent="0.3">
      <c r="E89"/>
      <c r="F89"/>
      <c r="G89"/>
      <c r="H89"/>
      <c r="I89"/>
      <c r="J89"/>
      <c r="K89"/>
      <c r="L89"/>
    </row>
    <row r="90" spans="5:12" ht="14.4" hidden="1" customHeight="1" x14ac:dyDescent="0.3">
      <c r="E90"/>
      <c r="F90"/>
      <c r="G90"/>
      <c r="H90"/>
      <c r="I90"/>
      <c r="J90"/>
      <c r="K90"/>
      <c r="L90"/>
    </row>
    <row r="91" spans="5:12" ht="14.4" hidden="1" customHeight="1" x14ac:dyDescent="0.3">
      <c r="E91"/>
      <c r="F91"/>
      <c r="G91"/>
      <c r="H91"/>
      <c r="I91"/>
      <c r="J91"/>
      <c r="K91"/>
      <c r="L91"/>
    </row>
    <row r="92" spans="5:12" ht="14.4" hidden="1" customHeight="1" x14ac:dyDescent="0.3">
      <c r="E92"/>
      <c r="F92"/>
      <c r="G92"/>
      <c r="H92"/>
      <c r="I92"/>
      <c r="J92"/>
      <c r="K92"/>
      <c r="L92"/>
    </row>
    <row r="93" spans="5:12" ht="14.4" hidden="1" customHeight="1" x14ac:dyDescent="0.3">
      <c r="E93"/>
      <c r="F93"/>
      <c r="G93"/>
      <c r="H93"/>
      <c r="I93"/>
      <c r="J93"/>
      <c r="K93"/>
      <c r="L93"/>
    </row>
    <row r="94" spans="5:12" ht="14.4" hidden="1" customHeight="1" x14ac:dyDescent="0.3">
      <c r="E94"/>
      <c r="F94"/>
      <c r="G94"/>
      <c r="H94"/>
      <c r="I94"/>
      <c r="J94"/>
      <c r="K94"/>
      <c r="L94"/>
    </row>
    <row r="95" spans="5:12" ht="14.4" hidden="1" customHeight="1" x14ac:dyDescent="0.3">
      <c r="E95"/>
      <c r="F95"/>
      <c r="G95"/>
      <c r="H95"/>
      <c r="I95"/>
      <c r="J95"/>
      <c r="K95"/>
      <c r="L95"/>
    </row>
    <row r="96" spans="5:12" ht="14.4" hidden="1" customHeight="1" x14ac:dyDescent="0.3">
      <c r="E96"/>
      <c r="F96"/>
      <c r="G96"/>
      <c r="H96"/>
      <c r="I96"/>
      <c r="J96"/>
      <c r="K96"/>
      <c r="L96"/>
    </row>
    <row r="97" spans="5:12" ht="14.4" hidden="1" customHeight="1" x14ac:dyDescent="0.3">
      <c r="E97"/>
      <c r="F97"/>
      <c r="G97"/>
      <c r="H97"/>
      <c r="I97"/>
      <c r="J97"/>
      <c r="K97"/>
      <c r="L97"/>
    </row>
    <row r="98" spans="5:12" ht="14.4" hidden="1" customHeight="1" x14ac:dyDescent="0.3">
      <c r="E98"/>
      <c r="F98"/>
      <c r="G98"/>
      <c r="H98"/>
      <c r="I98"/>
      <c r="J98"/>
      <c r="K98"/>
      <c r="L98"/>
    </row>
    <row r="99" spans="5:12" ht="14.4" hidden="1" customHeight="1" x14ac:dyDescent="0.3">
      <c r="E99"/>
      <c r="F99"/>
      <c r="G99"/>
      <c r="H99"/>
      <c r="I99"/>
      <c r="J99"/>
      <c r="K99"/>
      <c r="L99"/>
    </row>
    <row r="100" spans="5:12" ht="14.4" hidden="1" customHeight="1" x14ac:dyDescent="0.3">
      <c r="E100"/>
      <c r="F100"/>
      <c r="G100"/>
      <c r="H100"/>
      <c r="I100"/>
      <c r="J100"/>
      <c r="K100"/>
      <c r="L100"/>
    </row>
    <row r="101" spans="5:12" ht="14.4" hidden="1" customHeight="1" x14ac:dyDescent="0.3">
      <c r="E101"/>
      <c r="F101"/>
      <c r="G101"/>
      <c r="H101"/>
      <c r="I101"/>
      <c r="J101"/>
      <c r="K101"/>
      <c r="L101"/>
    </row>
    <row r="102" spans="5:12" ht="14.4" hidden="1" customHeight="1" x14ac:dyDescent="0.3">
      <c r="E102"/>
      <c r="F102"/>
      <c r="G102"/>
      <c r="H102"/>
      <c r="I102"/>
      <c r="J102"/>
      <c r="K102"/>
      <c r="L102"/>
    </row>
    <row r="103" spans="5:12" ht="14.4" hidden="1" customHeight="1" x14ac:dyDescent="0.3">
      <c r="E103"/>
      <c r="F103"/>
      <c r="G103"/>
      <c r="H103"/>
      <c r="I103"/>
      <c r="J103"/>
      <c r="K103"/>
      <c r="L103"/>
    </row>
    <row r="104" spans="5:12" ht="14.4" hidden="1" customHeight="1" x14ac:dyDescent="0.3">
      <c r="E104"/>
      <c r="F104"/>
      <c r="G104"/>
      <c r="H104"/>
      <c r="I104"/>
      <c r="J104"/>
      <c r="K104"/>
      <c r="L104"/>
    </row>
    <row r="105" spans="5:12" ht="14.4" hidden="1" customHeight="1" x14ac:dyDescent="0.3">
      <c r="E105"/>
      <c r="F105"/>
      <c r="G105"/>
      <c r="H105"/>
      <c r="I105"/>
      <c r="J105"/>
      <c r="K105"/>
      <c r="L105"/>
    </row>
    <row r="106" spans="5:12" ht="14.4" hidden="1" customHeight="1" x14ac:dyDescent="0.3">
      <c r="E106"/>
      <c r="F106"/>
      <c r="G106"/>
      <c r="H106"/>
      <c r="I106"/>
      <c r="J106"/>
      <c r="K106"/>
      <c r="L106"/>
    </row>
    <row r="107" spans="5:12" ht="14.4" hidden="1" customHeight="1" x14ac:dyDescent="0.3">
      <c r="E107"/>
      <c r="F107"/>
      <c r="G107"/>
      <c r="H107"/>
      <c r="I107"/>
      <c r="J107"/>
      <c r="K107"/>
      <c r="L107"/>
    </row>
    <row r="108" spans="5:12" ht="14.4" hidden="1" customHeight="1" x14ac:dyDescent="0.3">
      <c r="E108"/>
      <c r="F108"/>
      <c r="G108"/>
      <c r="H108"/>
      <c r="I108"/>
      <c r="J108"/>
      <c r="K108"/>
      <c r="L108"/>
    </row>
    <row r="109" spans="5:12" ht="14.4" hidden="1" customHeight="1" x14ac:dyDescent="0.3">
      <c r="E109"/>
      <c r="F109"/>
      <c r="G109"/>
      <c r="H109"/>
      <c r="I109"/>
      <c r="J109"/>
      <c r="K109"/>
      <c r="L109"/>
    </row>
    <row r="110" spans="5:12" ht="14.4" hidden="1" customHeight="1" x14ac:dyDescent="0.3">
      <c r="E110"/>
      <c r="F110"/>
      <c r="G110"/>
      <c r="H110"/>
      <c r="I110"/>
      <c r="J110"/>
      <c r="K110"/>
      <c r="L110"/>
    </row>
    <row r="111" spans="5:12" ht="14.4" hidden="1" customHeight="1" x14ac:dyDescent="0.3">
      <c r="E111"/>
      <c r="F111"/>
      <c r="G111"/>
      <c r="H111"/>
      <c r="I111"/>
      <c r="J111"/>
      <c r="K111"/>
      <c r="L111"/>
    </row>
    <row r="112" spans="5:12" ht="14.4" hidden="1" customHeight="1" x14ac:dyDescent="0.3">
      <c r="E112"/>
      <c r="F112"/>
      <c r="G112"/>
      <c r="H112"/>
      <c r="I112"/>
      <c r="J112"/>
      <c r="K112"/>
      <c r="L112"/>
    </row>
    <row r="113" spans="5:12" ht="14.4" hidden="1" customHeight="1" x14ac:dyDescent="0.3">
      <c r="E113"/>
      <c r="F113"/>
      <c r="G113"/>
      <c r="H113"/>
      <c r="I113"/>
      <c r="J113"/>
      <c r="K113"/>
      <c r="L113"/>
    </row>
    <row r="114" spans="5:12" ht="14.4" hidden="1" customHeight="1" x14ac:dyDescent="0.3">
      <c r="E114"/>
      <c r="F114"/>
      <c r="G114"/>
      <c r="H114"/>
      <c r="I114"/>
      <c r="J114"/>
      <c r="K114"/>
      <c r="L114"/>
    </row>
    <row r="115" spans="5:12" ht="14.4" hidden="1" customHeight="1" x14ac:dyDescent="0.3">
      <c r="E115"/>
      <c r="F115"/>
      <c r="G115"/>
      <c r="H115"/>
      <c r="I115"/>
      <c r="J115"/>
      <c r="K115"/>
      <c r="L115"/>
    </row>
    <row r="116" spans="5:12" ht="14.4" hidden="1" customHeight="1" x14ac:dyDescent="0.3">
      <c r="E116"/>
      <c r="F116"/>
      <c r="G116"/>
      <c r="H116"/>
      <c r="I116"/>
      <c r="J116"/>
      <c r="K116"/>
      <c r="L116"/>
    </row>
    <row r="117" spans="5:12" ht="14.4" hidden="1" customHeight="1" x14ac:dyDescent="0.3">
      <c r="E117"/>
      <c r="F117"/>
      <c r="G117"/>
      <c r="H117"/>
      <c r="I117"/>
      <c r="J117"/>
      <c r="K117"/>
      <c r="L117"/>
    </row>
    <row r="118" spans="5:12" ht="14.4" hidden="1" customHeight="1" x14ac:dyDescent="0.3">
      <c r="E118"/>
      <c r="F118"/>
      <c r="G118"/>
      <c r="H118"/>
      <c r="I118"/>
      <c r="J118"/>
      <c r="K118"/>
      <c r="L118"/>
    </row>
    <row r="119" spans="5:12" ht="14.4" hidden="1" customHeight="1" x14ac:dyDescent="0.3">
      <c r="E119"/>
      <c r="F119"/>
      <c r="G119"/>
      <c r="H119"/>
      <c r="I119"/>
      <c r="J119"/>
      <c r="K119"/>
      <c r="L119"/>
    </row>
    <row r="120" spans="5:12" ht="14.4" hidden="1" customHeight="1" x14ac:dyDescent="0.3">
      <c r="E120"/>
      <c r="F120"/>
      <c r="G120"/>
      <c r="H120"/>
      <c r="I120"/>
      <c r="J120"/>
      <c r="K120"/>
      <c r="L120"/>
    </row>
    <row r="121" spans="5:12" ht="14.4" hidden="1" customHeight="1" x14ac:dyDescent="0.3">
      <c r="E121"/>
      <c r="F121"/>
      <c r="G121"/>
      <c r="H121"/>
      <c r="I121"/>
      <c r="J121"/>
      <c r="K121"/>
      <c r="L121"/>
    </row>
    <row r="122" spans="5:12" ht="14.4" hidden="1" customHeight="1" x14ac:dyDescent="0.3">
      <c r="E122"/>
      <c r="F122"/>
      <c r="G122"/>
      <c r="H122"/>
      <c r="I122"/>
      <c r="J122"/>
      <c r="K122"/>
      <c r="L122"/>
    </row>
    <row r="123" spans="5:12" ht="14.4" hidden="1" customHeight="1" x14ac:dyDescent="0.3">
      <c r="E123"/>
      <c r="F123"/>
      <c r="G123"/>
      <c r="H123"/>
      <c r="I123"/>
      <c r="J123"/>
      <c r="K123"/>
      <c r="L123"/>
    </row>
    <row r="124" spans="5:12" ht="14.4" hidden="1" customHeight="1" x14ac:dyDescent="0.3">
      <c r="E124"/>
      <c r="F124"/>
      <c r="G124"/>
      <c r="H124"/>
      <c r="I124"/>
      <c r="J124"/>
      <c r="K124"/>
      <c r="L124"/>
    </row>
    <row r="125" spans="5:12" ht="14.4" hidden="1" customHeight="1" x14ac:dyDescent="0.3">
      <c r="E125"/>
      <c r="F125"/>
      <c r="G125"/>
      <c r="H125"/>
      <c r="I125"/>
      <c r="J125"/>
      <c r="K125"/>
      <c r="L125"/>
    </row>
    <row r="126" spans="5:12" ht="14.4" hidden="1" customHeight="1" x14ac:dyDescent="0.3">
      <c r="E126"/>
      <c r="F126"/>
      <c r="G126"/>
      <c r="H126"/>
      <c r="I126"/>
      <c r="J126"/>
      <c r="K126"/>
      <c r="L126"/>
    </row>
    <row r="127" spans="5:12" ht="14.4" hidden="1" customHeight="1" x14ac:dyDescent="0.3">
      <c r="E127"/>
      <c r="F127"/>
      <c r="G127"/>
      <c r="H127"/>
      <c r="I127"/>
      <c r="J127"/>
      <c r="K127"/>
      <c r="L127"/>
    </row>
    <row r="128" spans="5:12" ht="14.4" hidden="1" customHeight="1" x14ac:dyDescent="0.3">
      <c r="E128"/>
      <c r="F128"/>
      <c r="G128"/>
      <c r="H128"/>
      <c r="I128"/>
      <c r="J128"/>
      <c r="K128"/>
      <c r="L128"/>
    </row>
    <row r="129" spans="5:12" ht="14.4" hidden="1" customHeight="1" x14ac:dyDescent="0.3">
      <c r="E129"/>
      <c r="F129"/>
      <c r="G129"/>
      <c r="H129"/>
      <c r="I129"/>
      <c r="J129"/>
      <c r="K129"/>
      <c r="L129"/>
    </row>
    <row r="130" spans="5:12" ht="14.4" hidden="1" customHeight="1" x14ac:dyDescent="0.3">
      <c r="E130"/>
      <c r="F130"/>
      <c r="G130"/>
      <c r="H130"/>
      <c r="I130"/>
      <c r="J130"/>
      <c r="K130"/>
      <c r="L130"/>
    </row>
    <row r="131" spans="5:12" ht="14.4" hidden="1" customHeight="1" x14ac:dyDescent="0.3">
      <c r="E131"/>
      <c r="F131"/>
      <c r="G131"/>
      <c r="H131"/>
      <c r="I131"/>
      <c r="J131"/>
      <c r="K131"/>
      <c r="L131"/>
    </row>
    <row r="132" spans="5:12" ht="14.4" hidden="1" customHeight="1" x14ac:dyDescent="0.3">
      <c r="E132"/>
      <c r="F132"/>
      <c r="G132"/>
      <c r="H132"/>
      <c r="I132"/>
      <c r="J132"/>
      <c r="K132"/>
      <c r="L132"/>
    </row>
    <row r="133" spans="5:12" ht="14.4" hidden="1" customHeight="1" x14ac:dyDescent="0.3">
      <c r="E133"/>
      <c r="F133"/>
      <c r="G133"/>
      <c r="H133"/>
      <c r="I133"/>
      <c r="J133"/>
      <c r="K133"/>
      <c r="L133"/>
    </row>
    <row r="134" spans="5:12" ht="14.4" hidden="1" customHeight="1" x14ac:dyDescent="0.3">
      <c r="E134"/>
      <c r="F134"/>
      <c r="G134"/>
      <c r="H134"/>
      <c r="I134"/>
      <c r="J134"/>
      <c r="K134"/>
      <c r="L134"/>
    </row>
    <row r="135" spans="5:12" ht="14.4" hidden="1" customHeight="1" x14ac:dyDescent="0.3">
      <c r="E135"/>
      <c r="F135"/>
      <c r="G135"/>
      <c r="H135"/>
      <c r="I135"/>
      <c r="J135"/>
      <c r="K135"/>
      <c r="L135"/>
    </row>
    <row r="136" spans="5:12" ht="14.4" hidden="1" customHeight="1" x14ac:dyDescent="0.3">
      <c r="E136"/>
      <c r="F136"/>
      <c r="G136"/>
      <c r="H136"/>
      <c r="I136"/>
      <c r="J136"/>
      <c r="K136"/>
      <c r="L136"/>
    </row>
    <row r="137" spans="5:12" ht="14.4" hidden="1" customHeight="1" x14ac:dyDescent="0.3">
      <c r="E137"/>
      <c r="F137"/>
      <c r="G137"/>
      <c r="H137"/>
      <c r="I137"/>
      <c r="J137"/>
      <c r="K137"/>
      <c r="L137"/>
    </row>
    <row r="138" spans="5:12" ht="14.4" hidden="1" customHeight="1" x14ac:dyDescent="0.3">
      <c r="E138"/>
      <c r="F138"/>
      <c r="G138"/>
      <c r="H138"/>
      <c r="I138"/>
      <c r="J138"/>
      <c r="K138"/>
      <c r="L138"/>
    </row>
    <row r="139" spans="5:12" ht="14.4" hidden="1" customHeight="1" x14ac:dyDescent="0.3">
      <c r="E139"/>
      <c r="F139"/>
      <c r="G139"/>
      <c r="H139"/>
      <c r="I139"/>
      <c r="J139"/>
      <c r="K139"/>
      <c r="L139"/>
    </row>
    <row r="140" spans="5:12" ht="14.4" hidden="1" customHeight="1" x14ac:dyDescent="0.3">
      <c r="E140"/>
      <c r="F140"/>
      <c r="G140"/>
      <c r="H140"/>
      <c r="I140"/>
      <c r="J140"/>
      <c r="K140"/>
      <c r="L140"/>
    </row>
    <row r="141" spans="5:12" ht="14.4" hidden="1" customHeight="1" x14ac:dyDescent="0.3">
      <c r="E141"/>
      <c r="F141"/>
      <c r="G141"/>
      <c r="H141"/>
      <c r="I141"/>
      <c r="J141"/>
      <c r="K141"/>
      <c r="L141"/>
    </row>
    <row r="142" spans="5:12" ht="14.4" hidden="1" customHeight="1" x14ac:dyDescent="0.3">
      <c r="E142"/>
      <c r="F142"/>
      <c r="G142"/>
      <c r="H142"/>
      <c r="I142"/>
      <c r="J142"/>
      <c r="K142"/>
      <c r="L142"/>
    </row>
    <row r="143" spans="5:12" ht="14.4" hidden="1" customHeight="1" x14ac:dyDescent="0.3">
      <c r="E143"/>
      <c r="F143"/>
      <c r="G143"/>
      <c r="H143"/>
      <c r="I143"/>
      <c r="J143"/>
      <c r="K143"/>
      <c r="L143"/>
    </row>
    <row r="144" spans="5:12" ht="14.4" hidden="1" customHeight="1" x14ac:dyDescent="0.3">
      <c r="E144"/>
      <c r="F144"/>
      <c r="G144"/>
      <c r="H144"/>
      <c r="I144"/>
      <c r="J144"/>
      <c r="K144"/>
      <c r="L144"/>
    </row>
    <row r="145" spans="5:12" ht="14.4" hidden="1" customHeight="1" x14ac:dyDescent="0.3">
      <c r="E145"/>
      <c r="F145"/>
      <c r="G145"/>
      <c r="H145"/>
      <c r="I145"/>
      <c r="J145"/>
      <c r="K145"/>
      <c r="L145"/>
    </row>
    <row r="146" spans="5:12" ht="14.4" hidden="1" customHeight="1" x14ac:dyDescent="0.3">
      <c r="E146"/>
      <c r="F146"/>
      <c r="G146"/>
      <c r="H146"/>
      <c r="I146"/>
      <c r="J146"/>
      <c r="K146"/>
      <c r="L146"/>
    </row>
  </sheetData>
  <mergeCells count="10">
    <mergeCell ref="F22:G22"/>
    <mergeCell ref="F25:G25"/>
    <mergeCell ref="E26:G26"/>
    <mergeCell ref="F46:G46"/>
    <mergeCell ref="A1:L3"/>
    <mergeCell ref="F11:G11"/>
    <mergeCell ref="E12:G12"/>
    <mergeCell ref="F19:G19"/>
    <mergeCell ref="E20:G20"/>
    <mergeCell ref="E21:G21"/>
  </mergeCells>
  <conditionalFormatting sqref="K11">
    <cfRule type="expression" dxfId="3" priority="4" stopIfTrue="1">
      <formula>AND(ISNUMBER(K11),K11&lt;&gt;0)</formula>
    </cfRule>
  </conditionalFormatting>
  <conditionalFormatting sqref="K20">
    <cfRule type="expression" dxfId="2" priority="3" stopIfTrue="1">
      <formula>AND(ISNUMBER(K20),K20&lt;&gt;0)</formula>
    </cfRule>
  </conditionalFormatting>
  <conditionalFormatting sqref="K22">
    <cfRule type="expression" dxfId="1" priority="1" stopIfTrue="1">
      <formula>AND(ISNUMBER(K22),K22&lt;&gt;0)</formula>
    </cfRule>
  </conditionalFormatting>
  <conditionalFormatting sqref="K25">
    <cfRule type="expression" dxfId="0" priority="2" stopIfTrue="1">
      <formula>AND(ISNUMBER(K25),K25&lt;&gt;0)</formula>
    </cfRule>
  </conditionalFormatting>
  <dataValidations count="2">
    <dataValidation type="list" allowBlank="1" showInputMessage="1" showErrorMessage="1" sqref="J12" xr:uid="{C5AAB923-1543-494F-B8A6-A3AABF7877CA}">
      <formula1>"Through Rate,Labour Rate"</formula1>
    </dataValidation>
    <dataValidation type="list" allowBlank="1" showInputMessage="1" showErrorMessage="1" sqref="J26 J21" xr:uid="{28DF0F2F-52CA-45C4-801F-B809CED0A19C}">
      <formula1>"Through Rate,Material Rate,Labour Rate"</formula1>
    </dataValidation>
  </dataValidations>
  <pageMargins left="0.43307086614173201" right="0.43307086614173201" top="0.55118110236220497" bottom="0.47244094488188998" header="0.31496062992126" footer="0.31496062992126"/>
  <pageSetup scale="8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Brick Rasta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 BroThers</dc:creator>
  <cp:lastModifiedBy>GarG BroThers</cp:lastModifiedBy>
  <dcterms:created xsi:type="dcterms:W3CDTF">2025-12-29T05:02:59Z</dcterms:created>
  <dcterms:modified xsi:type="dcterms:W3CDTF">2025-12-29T05:03:00Z</dcterms:modified>
</cp:coreProperties>
</file>