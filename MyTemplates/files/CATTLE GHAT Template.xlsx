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Downloads\drive-download-20260115T162814Z-3-001\"/>
    </mc:Choice>
  </mc:AlternateContent>
  <xr:revisionPtr revIDLastSave="0" documentId="13_ncr:1_{03374599-8A40-4184-B887-15086838E6C6}" xr6:coauthVersionLast="47" xr6:coauthVersionMax="47" xr10:uidLastSave="{00000000-0000-0000-0000-000000000000}"/>
  <bookViews>
    <workbookView xWindow="-108" yWindow="-108" windowWidth="23256" windowHeight="12456" xr2:uid="{94EB37E2-3BFC-4FF0-AA56-DC4D9FBF31ED}"/>
  </bookViews>
  <sheets>
    <sheet name="CATTLE GHA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9" i="2" l="1"/>
  <c r="K38" i="2"/>
  <c r="H37" i="2"/>
  <c r="H38" i="2" s="1"/>
  <c r="H39" i="2" s="1"/>
  <c r="L39" i="2" s="1"/>
  <c r="H36" i="2"/>
  <c r="K33" i="2"/>
  <c r="K32" i="2"/>
  <c r="H31" i="2"/>
  <c r="H32" i="2" s="1"/>
  <c r="H33" i="2" s="1"/>
  <c r="L33" i="2" s="1"/>
  <c r="K28" i="2"/>
  <c r="K27" i="2"/>
  <c r="H26" i="2"/>
  <c r="H25" i="2"/>
  <c r="H24" i="2"/>
  <c r="H23" i="2"/>
  <c r="H22" i="2"/>
  <c r="H21" i="2"/>
  <c r="H20" i="2"/>
  <c r="H19" i="2"/>
  <c r="H18" i="2"/>
  <c r="H17" i="2"/>
  <c r="H27" i="2" s="1"/>
  <c r="H28" i="2" s="1"/>
  <c r="L28" i="2" s="1"/>
  <c r="H16" i="2"/>
  <c r="K13" i="2"/>
  <c r="K12" i="2"/>
  <c r="H11" i="2"/>
  <c r="H10" i="2"/>
  <c r="H12" i="2" s="1"/>
  <c r="H13" i="2" s="1"/>
  <c r="L13" i="2" s="1"/>
  <c r="A9" i="2"/>
  <c r="A15" i="2" s="1"/>
  <c r="A30" i="2" s="1"/>
  <c r="A35" i="2" s="1"/>
  <c r="K7" i="2"/>
  <c r="K6" i="2"/>
  <c r="H5" i="2"/>
  <c r="H4" i="2"/>
  <c r="H6" i="2" s="1"/>
  <c r="H7" i="2" s="1"/>
  <c r="L7" i="2" s="1"/>
  <c r="L41" i="2" s="1"/>
  <c r="A3" i="2"/>
  <c r="L42" i="2" l="1"/>
  <c r="L43" i="2"/>
  <c r="L44" i="2" l="1"/>
  <c r="L45" i="2" s="1"/>
  <c r="J47" i="2" s="1"/>
</calcChain>
</file>

<file path=xl/sharedStrings.xml><?xml version="1.0" encoding="utf-8"?>
<sst xmlns="http://schemas.openxmlformats.org/spreadsheetml/2006/main" count="79" uniqueCount="42">
  <si>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</si>
  <si>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</si>
  <si>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</si>
  <si>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</si>
  <si>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</si>
  <si>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</si>
  <si>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</si>
  <si>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</si>
  <si>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</si>
  <si>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</si>
  <si>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</si>
  <si>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</si>
  <si>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</si>
  <si>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Calibri"/>
        <family val="2"/>
        <scheme val="minor"/>
      </rPr>
      <t>(4.14.1) All kinds of soil.</t>
    </r>
  </si>
  <si>
    <t>Long wall</t>
  </si>
  <si>
    <t>cft</t>
  </si>
  <si>
    <t>Short wall</t>
  </si>
  <si>
    <t>Total (cft)</t>
  </si>
  <si>
    <t>Total (cum)</t>
  </si>
  <si>
    <t>cum</t>
  </si>
  <si>
    <t>Through Rate</t>
  </si>
  <si>
    <t>10.100.2</t>
  </si>
  <si>
    <r>
      <t xml:space="preserve">(10.100) Flooring and Dados OTHER MISCELLANEOUS ITEMS USED FOR FLOORING 0 Cement Concrete 1:8:16 Flooring
</t>
    </r>
    <r>
      <rPr>
        <b/>
        <i/>
        <sz val="9"/>
        <color rgb="FF8B0000"/>
        <rFont val="Calibri"/>
        <family val="2"/>
        <scheme val="minor"/>
      </rPr>
      <t>(10.100.2) Cement Concrete 1:8:16 with stone aggregate 40 mm size in foundation and plinth.</t>
    </r>
  </si>
  <si>
    <t>7.21.2</t>
  </si>
  <si>
    <r>
      <t xml:space="preserve">(7.21) Brick work with common burnt clay non- modular bricks of class designation 10.5 in foundation and plinth in:
</t>
    </r>
    <r>
      <rPr>
        <b/>
        <i/>
        <sz val="9"/>
        <color rgb="FF8B0000"/>
        <rFont val="Calibri"/>
        <family val="2"/>
        <scheme val="minor"/>
      </rPr>
      <t>(7.21.2) Cement mortar 1:6 (1 cement : 6 coarse sand)</t>
    </r>
  </si>
  <si>
    <t>Through Rate Amnd</t>
  </si>
  <si>
    <t>10.33.2</t>
  </si>
  <si>
    <r>
      <t xml:space="preserve">(10.33) Flooring and Dados BRICK FLOORING Providing and laying of brick on edge flooring with bricks of class designation 7.5 on a bed of 12 mm cement mortar, including filling the joints with same mortar, with common burnt clay non modular bricks:
</t>
    </r>
    <r>
      <rPr>
        <b/>
        <i/>
        <sz val="9"/>
        <color rgb="FF8B0000"/>
        <rFont val="Calibri"/>
        <family val="2"/>
        <scheme val="minor"/>
      </rPr>
      <t>(10.33.2) 1:6 (1cement : 6 coarse sand)</t>
    </r>
  </si>
  <si>
    <t>sft</t>
  </si>
  <si>
    <t>Total (sft)</t>
  </si>
  <si>
    <t>Total (sqm)</t>
  </si>
  <si>
    <t>sqm</t>
  </si>
  <si>
    <t>10.7</t>
  </si>
  <si>
    <t>(10.7) Flooring and Dados CEMENT CONCRETE FLOORING Providing and laying of conglomerate floor 50mm thick cement concrete topping 1:2:4</t>
  </si>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</sst>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quot;Rs.&quot;\ #,##0.00"/>
    <numFmt numFmtId="166" formatCode="#,##0;\-#,##0;&quot;&quot;"/>
    <numFmt numFmtId="167" formatCode="_(* #,##0_);_(* \(#,##0\);_(* &quot;-&quot;??_);_(@_)"/>
  </numFmts>
  <fonts count="11" x14ac:knownFonts="1">
    <font>
      <sz val="11"/>
      <color theme="1"/>
      <name val="Calibri"/>
      <family val="2"/>
      <scheme val="minor"/>
    </font>
    <font>
      <b/>
      <sz val="11"/>
      <color theme="1"/>
      <name val="Calibri"/>
      <family val="2"/>
      <scheme val="minor"/>
    </font>
    <font>
      <b/>
      <sz val="12"/>
      <color theme="1"/>
      <name val="Times New Roman"/>
      <family val="1"/>
    </font>
    <font>
      <b/>
      <i/>
      <sz val="10"/>
      <color rgb="FF006400"/>
      <name val="Calibri"/>
      <family val="2"/>
      <scheme val="minor"/>
    </font>
    <font>
      <b/>
      <i/>
      <sz val="9"/>
      <color rgb="FF8B0000"/>
      <name val="Calibri"/>
      <family val="2"/>
      <scheme val="minor"/>
    </font>
    <font>
      <b/>
      <sz val="11"/>
      <color rgb="FF000000"/>
      <name val="Calibri"/>
      <family val="2"/>
      <scheme val="minor"/>
    </font>
    <font>
      <b/>
      <sz val="13"/>
      <color rgb="FF000000"/>
      <name val="Calibri"/>
      <family val="2"/>
      <scheme val="minor"/>
    </font>
    <font>
      <b/>
      <sz val="11"/>
      <color rgb="FF000000"/>
      <name val="Times New Roman"/>
      <family val="1"/>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3">
    <border>
      <left/>
      <right/>
      <top/>
      <bottom/>
      <diagonal/>
    </border>
    <border>
      <left/>
      <right/>
      <top/>
      <bottom style="thick">
        <color indexed="64"/>
      </bottom>
      <diagonal/>
    </border>
    <border>
      <left style="thick">
        <color auto="1"/>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auto="1"/>
      </right>
      <top style="thick">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auto="1"/>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ck">
        <color auto="1"/>
      </left>
      <right/>
      <top style="thin">
        <color indexed="64"/>
      </top>
      <bottom style="thin">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top style="thick">
        <color auto="1"/>
      </top>
      <bottom style="thin">
        <color indexed="64"/>
      </bottom>
      <diagonal/>
    </border>
    <border>
      <left/>
      <right/>
      <top style="thick">
        <color auto="1"/>
      </top>
      <bottom style="thin">
        <color indexed="64"/>
      </bottom>
      <diagonal/>
    </border>
    <border>
      <left/>
      <right style="thick">
        <color indexed="64"/>
      </right>
      <top style="thick">
        <color auto="1"/>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9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1" fillId="0" borderId="1" xfId="0" applyFont="1" applyBorder="1" applyAlignment="1">
      <alignment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 fontId="2" fillId="0" borderId="5" xfId="0" applyNumberFormat="1" applyFont="1" applyBorder="1" applyAlignment="1">
      <alignment horizontal="center" vertical="center"/>
    </xf>
    <xf numFmtId="49" fontId="2" fillId="0" borderId="6" xfId="0" applyNumberFormat="1" applyFont="1" applyBorder="1" applyAlignment="1">
      <alignment horizontal="center" vertical="center"/>
    </xf>
    <xf numFmtId="0" fontId="3" fillId="0" borderId="6" xfId="0" applyFont="1" applyBorder="1" applyAlignment="1">
      <alignment vertical="center" wrapText="1"/>
    </xf>
    <xf numFmtId="1" fontId="0" fillId="0" borderId="7" xfId="0" applyNumberFormat="1" applyBorder="1" applyAlignment="1">
      <alignment horizontal="center" vertical="center"/>
    </xf>
    <xf numFmtId="164" fontId="0" fillId="0" borderId="8" xfId="0" applyNumberFormat="1" applyBorder="1" applyAlignment="1">
      <alignment vertical="center"/>
    </xf>
    <xf numFmtId="164" fontId="0" fillId="2" borderId="8" xfId="0" applyNumberFormat="1" applyFill="1" applyBorder="1" applyAlignment="1">
      <alignment horizontal="right" vertical="center"/>
    </xf>
    <xf numFmtId="0" fontId="1" fillId="0" borderId="8" xfId="0" applyFont="1" applyBorder="1" applyAlignment="1">
      <alignment horizontal="left" vertical="center"/>
    </xf>
    <xf numFmtId="0" fontId="0" fillId="3" borderId="8" xfId="0" applyFill="1" applyBorder="1" applyAlignment="1">
      <alignment horizontal="center" vertical="center" wrapText="1"/>
    </xf>
    <xf numFmtId="1" fontId="0" fillId="4" borderId="8" xfId="0" applyNumberFormat="1" applyFill="1" applyBorder="1" applyAlignment="1">
      <alignment horizontal="right" vertical="center"/>
    </xf>
    <xf numFmtId="165" fontId="1" fillId="0" borderId="9" xfId="0" applyNumberFormat="1"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vertical="center"/>
    </xf>
    <xf numFmtId="1" fontId="0" fillId="0" borderId="6" xfId="0" applyNumberFormat="1" applyBorder="1" applyAlignment="1">
      <alignment horizontal="center" vertical="center"/>
    </xf>
    <xf numFmtId="164" fontId="0" fillId="0" borderId="6" xfId="0" applyNumberFormat="1" applyBorder="1" applyAlignment="1">
      <alignment vertical="center"/>
    </xf>
    <xf numFmtId="164" fontId="0" fillId="2" borderId="6" xfId="0" applyNumberFormat="1" applyFill="1" applyBorder="1" applyAlignment="1">
      <alignment horizontal="right" vertical="center"/>
    </xf>
    <xf numFmtId="0" fontId="1" fillId="0" borderId="6" xfId="0" applyFont="1" applyBorder="1" applyAlignment="1">
      <alignment horizontal="left" vertical="center"/>
    </xf>
    <xf numFmtId="0" fontId="0" fillId="3" borderId="6" xfId="0" applyFill="1" applyBorder="1" applyAlignment="1">
      <alignment horizontal="center" vertical="center" wrapText="1"/>
    </xf>
    <xf numFmtId="1" fontId="0" fillId="4" borderId="6" xfId="0" applyNumberFormat="1" applyFill="1" applyBorder="1" applyAlignment="1">
      <alignment horizontal="right" vertical="center"/>
    </xf>
    <xf numFmtId="165" fontId="1" fillId="4" borderId="10" xfId="0" applyNumberFormat="1" applyFont="1" applyFill="1" applyBorder="1" applyAlignment="1">
      <alignment horizontal="center" vertical="center"/>
    </xf>
    <xf numFmtId="1" fontId="2" fillId="5" borderId="5" xfId="0" applyNumberFormat="1" applyFont="1" applyFill="1" applyBorder="1" applyAlignment="1">
      <alignment horizontal="center" vertical="center"/>
    </xf>
    <xf numFmtId="0" fontId="1" fillId="5" borderId="6" xfId="0" applyFont="1" applyFill="1" applyBorder="1" applyAlignment="1">
      <alignment horizontal="center" vertical="center"/>
    </xf>
    <xf numFmtId="0" fontId="1" fillId="5" borderId="6" xfId="0" applyFont="1" applyFill="1" applyBorder="1" applyAlignment="1">
      <alignment vertical="center"/>
    </xf>
    <xf numFmtId="1" fontId="1" fillId="5" borderId="6" xfId="0" applyNumberFormat="1" applyFont="1" applyFill="1" applyBorder="1" applyAlignment="1">
      <alignment horizontal="center" vertical="center"/>
    </xf>
    <xf numFmtId="164" fontId="1" fillId="5" borderId="6" xfId="0" applyNumberFormat="1" applyFont="1" applyFill="1" applyBorder="1" applyAlignment="1">
      <alignment vertical="center"/>
    </xf>
    <xf numFmtId="164" fontId="1" fillId="2" borderId="6" xfId="0" applyNumberFormat="1" applyFont="1" applyFill="1" applyBorder="1" applyAlignment="1">
      <alignment horizontal="right" vertical="center"/>
    </xf>
    <xf numFmtId="0" fontId="1" fillId="5" borderId="6" xfId="0" applyFont="1" applyFill="1" applyBorder="1" applyAlignment="1">
      <alignment horizontal="left" vertical="center"/>
    </xf>
    <xf numFmtId="0" fontId="1" fillId="3" borderId="6" xfId="0" applyFont="1" applyFill="1" applyBorder="1" applyAlignment="1">
      <alignment horizontal="center" vertical="center" wrapText="1"/>
    </xf>
    <xf numFmtId="166" fontId="1" fillId="4" borderId="6" xfId="0" applyNumberFormat="1" applyFont="1" applyFill="1" applyBorder="1" applyAlignment="1">
      <alignment horizontal="right" vertical="center"/>
    </xf>
    <xf numFmtId="165" fontId="1" fillId="5" borderId="10" xfId="0" applyNumberFormat="1" applyFont="1" applyFill="1" applyBorder="1" applyAlignment="1">
      <alignment horizontal="center" vertical="center"/>
    </xf>
    <xf numFmtId="1" fontId="2" fillId="6" borderId="5" xfId="0" applyNumberFormat="1" applyFont="1" applyFill="1" applyBorder="1" applyAlignment="1">
      <alignment horizontal="center" vertical="center"/>
    </xf>
    <xf numFmtId="0" fontId="1" fillId="6" borderId="6" xfId="0" applyFont="1" applyFill="1" applyBorder="1" applyAlignment="1">
      <alignment horizontal="center" vertical="center"/>
    </xf>
    <xf numFmtId="0" fontId="1" fillId="6" borderId="6" xfId="0" applyFont="1" applyFill="1" applyBorder="1" applyAlignment="1">
      <alignment vertical="center"/>
    </xf>
    <xf numFmtId="1" fontId="1" fillId="6" borderId="6" xfId="0" applyNumberFormat="1" applyFont="1" applyFill="1" applyBorder="1" applyAlignment="1">
      <alignment horizontal="center" vertical="center"/>
    </xf>
    <xf numFmtId="0" fontId="1" fillId="6" borderId="6" xfId="0" applyFont="1" applyFill="1" applyBorder="1" applyAlignment="1">
      <alignment horizontal="left" vertical="center" wrapText="1"/>
    </xf>
    <xf numFmtId="1" fontId="1" fillId="4" borderId="6" xfId="0" applyNumberFormat="1" applyFont="1" applyFill="1" applyBorder="1" applyAlignment="1">
      <alignment horizontal="right" vertical="center"/>
    </xf>
    <xf numFmtId="167" fontId="1" fillId="6" borderId="10" xfId="0" applyNumberFormat="1" applyFont="1" applyFill="1" applyBorder="1" applyAlignment="1">
      <alignment horizontal="center" vertical="center"/>
    </xf>
    <xf numFmtId="1" fontId="2" fillId="7" borderId="11" xfId="0" applyNumberFormat="1" applyFont="1" applyFill="1" applyBorder="1" applyAlignment="1">
      <alignment horizontal="center" vertical="center"/>
    </xf>
    <xf numFmtId="0" fontId="1" fillId="7" borderId="8" xfId="0" applyFont="1" applyFill="1" applyBorder="1" applyAlignment="1">
      <alignment horizontal="center" vertical="center"/>
    </xf>
    <xf numFmtId="0" fontId="0" fillId="7" borderId="8" xfId="0" applyFill="1" applyBorder="1" applyAlignment="1">
      <alignment vertical="center"/>
    </xf>
    <xf numFmtId="1" fontId="0" fillId="7" borderId="8" xfId="0" applyNumberFormat="1" applyFill="1" applyBorder="1" applyAlignment="1">
      <alignment horizontal="center" vertical="center"/>
    </xf>
    <xf numFmtId="164" fontId="0" fillId="7" borderId="8" xfId="0" applyNumberFormat="1" applyFill="1" applyBorder="1" applyAlignment="1">
      <alignment vertical="center"/>
    </xf>
    <xf numFmtId="0" fontId="1" fillId="7" borderId="8" xfId="0" applyFont="1" applyFill="1" applyBorder="1" applyAlignment="1">
      <alignment horizontal="left" vertical="center"/>
    </xf>
    <xf numFmtId="165" fontId="1" fillId="7" borderId="9" xfId="0" applyNumberFormat="1" applyFont="1" applyFill="1" applyBorder="1" applyAlignment="1">
      <alignment horizontal="center" vertical="center"/>
    </xf>
    <xf numFmtId="0" fontId="5" fillId="3" borderId="6" xfId="0" applyFont="1" applyFill="1" applyBorder="1" applyAlignment="1">
      <alignment horizontal="center" vertical="center" wrapText="1"/>
    </xf>
    <xf numFmtId="166" fontId="5" fillId="4" borderId="6" xfId="0" applyNumberFormat="1" applyFont="1" applyFill="1" applyBorder="1" applyAlignment="1">
      <alignment horizontal="right" vertical="center"/>
    </xf>
    <xf numFmtId="167" fontId="6" fillId="5" borderId="10" xfId="0" applyNumberFormat="1" applyFont="1" applyFill="1" applyBorder="1" applyAlignment="1">
      <alignment horizontal="center" vertical="center"/>
    </xf>
    <xf numFmtId="0" fontId="5" fillId="4" borderId="6" xfId="0" applyFont="1" applyFill="1" applyBorder="1" applyAlignment="1">
      <alignment horizontal="right" vertical="center"/>
    </xf>
    <xf numFmtId="167" fontId="6" fillId="6" borderId="10" xfId="0" applyNumberFormat="1" applyFont="1" applyFill="1" applyBorder="1" applyAlignment="1">
      <alignment horizontal="center" vertical="center"/>
    </xf>
    <xf numFmtId="0" fontId="0" fillId="7" borderId="8" xfId="0" applyFill="1" applyBorder="1" applyAlignment="1">
      <alignment horizontal="center" vertical="center"/>
    </xf>
    <xf numFmtId="0" fontId="0" fillId="2" borderId="8" xfId="0" applyFill="1" applyBorder="1" applyAlignment="1">
      <alignment horizontal="right" vertical="center"/>
    </xf>
    <xf numFmtId="0" fontId="5" fillId="3" borderId="8" xfId="0" applyFont="1" applyFill="1" applyBorder="1" applyAlignment="1">
      <alignment horizontal="center" vertical="center" wrapText="1"/>
    </xf>
    <xf numFmtId="0" fontId="5" fillId="4" borderId="8" xfId="0" applyFont="1" applyFill="1" applyBorder="1" applyAlignment="1">
      <alignment horizontal="right" vertical="center"/>
    </xf>
    <xf numFmtId="167" fontId="6" fillId="7" borderId="9" xfId="0"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vertical="center"/>
    </xf>
    <xf numFmtId="0" fontId="0" fillId="4" borderId="8" xfId="0" applyFill="1" applyBorder="1" applyAlignment="1">
      <alignment horizontal="right" vertical="center"/>
    </xf>
    <xf numFmtId="0" fontId="1" fillId="0" borderId="9" xfId="0" applyFont="1" applyBorder="1" applyAlignment="1">
      <alignment horizontal="center" vertical="center"/>
    </xf>
    <xf numFmtId="0" fontId="0" fillId="0" borderId="6" xfId="0" applyBorder="1" applyAlignment="1">
      <alignment horizontal="center" vertical="center"/>
    </xf>
    <xf numFmtId="0" fontId="0" fillId="4" borderId="6" xfId="0" applyFill="1" applyBorder="1" applyAlignment="1">
      <alignment horizontal="right" vertical="center"/>
    </xf>
    <xf numFmtId="0" fontId="1" fillId="0" borderId="10" xfId="0" applyFont="1" applyBorder="1" applyAlignment="1">
      <alignment horizontal="center" vertical="center"/>
    </xf>
    <xf numFmtId="0" fontId="1" fillId="5" borderId="10" xfId="0" applyFont="1" applyFill="1" applyBorder="1" applyAlignment="1">
      <alignment horizontal="center" vertical="center"/>
    </xf>
    <xf numFmtId="0" fontId="1" fillId="6" borderId="5" xfId="0" applyFont="1" applyFill="1" applyBorder="1" applyAlignment="1">
      <alignment horizontal="center" vertical="center"/>
    </xf>
    <xf numFmtId="0" fontId="1" fillId="4" borderId="6" xfId="0" applyFont="1" applyFill="1" applyBorder="1" applyAlignment="1">
      <alignment horizontal="right" vertical="center"/>
    </xf>
    <xf numFmtId="0" fontId="0" fillId="0" borderId="0" xfId="0" applyAlignment="1">
      <alignment vertical="center"/>
    </xf>
    <xf numFmtId="0" fontId="0" fillId="7" borderId="12" xfId="0" applyFill="1" applyBorder="1" applyAlignment="1">
      <alignment horizontal="center" vertical="center"/>
    </xf>
    <xf numFmtId="0" fontId="1" fillId="7" borderId="13" xfId="0" applyFont="1" applyFill="1" applyBorder="1" applyAlignment="1">
      <alignment horizontal="center" vertical="center"/>
    </xf>
    <xf numFmtId="0" fontId="0" fillId="7" borderId="13" xfId="0" applyFill="1" applyBorder="1" applyAlignment="1">
      <alignment vertical="center"/>
    </xf>
    <xf numFmtId="0" fontId="0" fillId="7" borderId="13" xfId="0" applyFill="1" applyBorder="1" applyAlignment="1">
      <alignment horizontal="center" vertical="center"/>
    </xf>
    <xf numFmtId="0" fontId="1" fillId="7" borderId="14"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7" fillId="8" borderId="15" xfId="0" applyFont="1" applyFill="1" applyBorder="1" applyAlignment="1">
      <alignment horizontal="centerContinuous" vertical="center"/>
    </xf>
    <xf numFmtId="0" fontId="5" fillId="8" borderId="16" xfId="0" applyFont="1" applyFill="1" applyBorder="1" applyAlignment="1">
      <alignment horizontal="centerContinuous"/>
    </xf>
    <xf numFmtId="167" fontId="5" fillId="8" borderId="17" xfId="0" applyNumberFormat="1" applyFont="1" applyFill="1" applyBorder="1" applyAlignment="1">
      <alignment horizontal="center" vertical="center"/>
    </xf>
    <xf numFmtId="0" fontId="7" fillId="8" borderId="18" xfId="0" applyFont="1" applyFill="1" applyBorder="1" applyAlignment="1">
      <alignment horizontal="centerContinuous" vertical="center"/>
    </xf>
    <xf numFmtId="0" fontId="5" fillId="8" borderId="8" xfId="0" applyFont="1" applyFill="1" applyBorder="1" applyAlignment="1">
      <alignment horizontal="centerContinuous"/>
    </xf>
    <xf numFmtId="167" fontId="5" fillId="8" borderId="19" xfId="0" applyNumberFormat="1" applyFont="1" applyFill="1" applyBorder="1" applyAlignment="1">
      <alignment horizontal="center" vertical="center"/>
    </xf>
    <xf numFmtId="0" fontId="7" fillId="8" borderId="20" xfId="0" applyFont="1" applyFill="1" applyBorder="1" applyAlignment="1">
      <alignment horizontal="centerContinuous" vertical="center"/>
    </xf>
    <xf numFmtId="0" fontId="5" fillId="8" borderId="21" xfId="0" applyFont="1" applyFill="1" applyBorder="1" applyAlignment="1">
      <alignment horizontal="centerContinuous"/>
    </xf>
    <xf numFmtId="167" fontId="5" fillId="8" borderId="22" xfId="0" applyNumberFormat="1" applyFont="1" applyFill="1" applyBorder="1" applyAlignment="1">
      <alignment horizontal="center" vertical="center"/>
    </xf>
    <xf numFmtId="0" fontId="8" fillId="0" borderId="0" xfId="0" applyFont="1" applyAlignment="1">
      <alignment horizontal="centerContinuous" vertical="center"/>
    </xf>
    <xf numFmtId="0" fontId="1" fillId="0" borderId="0" xfId="0" applyFont="1" applyAlignment="1">
      <alignment horizontal="centerContinuous"/>
    </xf>
    <xf numFmtId="0" fontId="9" fillId="0" borderId="0" xfId="0" applyFont="1" applyAlignment="1">
      <alignment horizontal="right" vertical="center" wrapText="1"/>
    </xf>
    <xf numFmtId="0" fontId="9" fillId="0" borderId="0" xfId="0" applyFont="1" applyAlignment="1">
      <alignment horizontal="centerContinuous" vertical="center" wrapText="1"/>
    </xf>
    <xf numFmtId="0" fontId="10" fillId="0" borderId="0" xfId="0" applyFont="1" applyAlignment="1">
      <alignment horizontal="centerContinuous"/>
    </xf>
    <xf numFmtId="0" fontId="1" fillId="0" borderId="0" xfId="0" applyFont="1" applyAlignment="1">
      <alignment vertical="center"/>
    </xf>
    <xf numFmtId="0" fontId="1" fillId="5" borderId="6" xfId="0" applyFont="1" applyFill="1" applyBorder="1" applyAlignment="1">
      <alignment horizontal="center" vertical="center"/>
    </xf>
    <xf numFmtId="0" fontId="1" fillId="6" borderId="6" xfId="0" applyFont="1" applyFill="1" applyBorder="1" applyAlignment="1">
      <alignment horizontal="center" vertical="center"/>
    </xf>
    <xf numFmtId="164" fontId="1" fillId="5" borderId="6" xfId="0" applyNumberFormat="1" applyFont="1" applyFill="1" applyBorder="1" applyAlignment="1">
      <alignment horizontal="center" vertical="center"/>
    </xf>
    <xf numFmtId="164" fontId="1" fillId="6" borderId="6" xfId="0" applyNumberFormat="1" applyFont="1" applyFill="1" applyBorder="1" applyAlignment="1">
      <alignment horizontal="center" vertical="center"/>
    </xf>
  </cellXfs>
  <cellStyles count="1">
    <cellStyle name="Normal" xfId="0" builtinId="0"/>
  </cellStyles>
  <dxfs count="5">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2733-AEE7-4459-BDA7-A102B7B14709}">
  <sheetPr>
    <pageSetUpPr fitToPage="1"/>
  </sheetPr>
  <dimension ref="A1:N50"/>
  <sheetViews>
    <sheetView showGridLines="0" tabSelected="1" workbookViewId="0">
      <pane ySplit="2" topLeftCell="A34" activePane="bottomLeft" state="frozen"/>
      <selection pane="bottomLeft" activeCell="A3" sqref="A3"/>
    </sheetView>
  </sheetViews>
  <sheetFormatPr defaultColWidth="0" defaultRowHeight="14.4" zeroHeight="1" x14ac:dyDescent="0.3"/>
  <cols>
    <col min="1" max="1" width="10.77734375" style="77" customWidth="1"/>
    <col min="2" max="2" width="10.77734375" style="78" customWidth="1"/>
    <col min="3" max="3" width="69.77734375" style="71" customWidth="1"/>
    <col min="4" max="4" width="10.77734375" style="77" customWidth="1"/>
    <col min="5" max="7" width="10.77734375" style="71" customWidth="1"/>
    <col min="8" max="8" width="10.77734375" style="77" customWidth="1"/>
    <col min="9" max="9" width="10.77734375" style="93" customWidth="1"/>
    <col min="10" max="11" width="10.77734375" style="71" customWidth="1"/>
    <col min="12" max="12" width="11.21875" style="71" bestFit="1" customWidth="1"/>
    <col min="13" max="13" width="8.88671875" customWidth="1"/>
    <col min="14" max="14" width="5.77734375" customWidth="1"/>
    <col min="15" max="16384" width="8.88671875" hidden="1"/>
  </cols>
  <sheetData>
    <row r="1" spans="1:12" ht="15" thickBot="1" x14ac:dyDescent="0.35">
      <c r="A1" s="1"/>
      <c r="B1" s="2"/>
      <c r="C1" s="3"/>
      <c r="D1" s="1"/>
      <c r="E1" s="3"/>
      <c r="F1" s="3"/>
      <c r="G1" s="3"/>
      <c r="H1" s="1"/>
      <c r="I1" s="4"/>
      <c r="J1" s="3"/>
      <c r="K1" s="3"/>
      <c r="L1" s="3"/>
    </row>
    <row r="2" spans="1:12" ht="30" customHeight="1" thickTop="1" x14ac:dyDescent="0.3">
      <c r="A2" s="5" t="s">
        <v>0</v>
      </c>
      <c r="B2" s="6" t="s">
        <v>1</v>
      </c>
      <c r="C2" s="6" t="s">
        <v>2</v>
      </c>
      <c r="D2" s="6" t="s">
        <v>3</v>
      </c>
      <c r="E2" s="6" t="s">
        <v>4</v>
      </c>
      <c r="F2" s="6" t="s">
        <v>5</v>
      </c>
      <c r="G2" s="6" t="s">
        <v>6</v>
      </c>
      <c r="H2" s="6" t="s">
        <v>7</v>
      </c>
      <c r="I2" s="6" t="s">
        <v>8</v>
      </c>
      <c r="J2" s="6" t="s">
        <v>9</v>
      </c>
      <c r="K2" s="6" t="s">
        <v>10</v>
      </c>
      <c r="L2" s="7" t="s">
        <v>11</v>
      </c>
    </row>
    <row r="3" spans="1:12" ht="81" x14ac:dyDescent="0.3">
      <c r="A3" s="8">
        <f>IFERROR(LOOKUP(2,1/(ISNUMBER($A$2:$A$2)),$A$2:$A$2),0)+1</f>
        <v>1</v>
      </c>
      <c r="B3" s="9" t="s">
        <v>12</v>
      </c>
      <c r="C3" s="10" t="s">
        <v>13</v>
      </c>
      <c r="D3" s="11"/>
      <c r="E3" s="12"/>
      <c r="F3" s="12"/>
      <c r="G3" s="12"/>
      <c r="H3" s="13"/>
      <c r="I3" s="14"/>
      <c r="J3" s="15"/>
      <c r="K3" s="16"/>
      <c r="L3" s="17"/>
    </row>
    <row r="4" spans="1:12" ht="15.6" x14ac:dyDescent="0.3">
      <c r="A4" s="8"/>
      <c r="B4" s="18"/>
      <c r="C4" s="19" t="s">
        <v>14</v>
      </c>
      <c r="D4" s="20">
        <v>2</v>
      </c>
      <c r="E4" s="21">
        <v>60</v>
      </c>
      <c r="F4" s="21">
        <v>5</v>
      </c>
      <c r="G4" s="21">
        <v>3</v>
      </c>
      <c r="H4" s="22">
        <f>D4*IF(OR(E4=0,E4="-"),1,E4)*IF(OR(F4=0,F4="-"),1,F4)*IF(OR(G4=0,G4="-"),1,G4)</f>
        <v>1800</v>
      </c>
      <c r="I4" s="23" t="s">
        <v>15</v>
      </c>
      <c r="J4" s="24"/>
      <c r="K4" s="25"/>
      <c r="L4" s="26"/>
    </row>
    <row r="5" spans="1:12" ht="15.6" x14ac:dyDescent="0.3">
      <c r="A5" s="8"/>
      <c r="B5" s="18"/>
      <c r="C5" s="19" t="s">
        <v>16</v>
      </c>
      <c r="D5" s="20">
        <v>1</v>
      </c>
      <c r="E5" s="21">
        <v>50</v>
      </c>
      <c r="F5" s="21">
        <v>2.25</v>
      </c>
      <c r="G5" s="21">
        <v>3</v>
      </c>
      <c r="H5" s="22">
        <f>D5*IF(OR(E5=0,E5="-"),1,E5)*IF(OR(F5=0,F5="-"),1,F5)*IF(OR(G5=0,G5="-"),1,G5)</f>
        <v>337.5</v>
      </c>
      <c r="I5" s="23" t="s">
        <v>15</v>
      </c>
      <c r="J5" s="24"/>
      <c r="K5" s="25"/>
      <c r="L5" s="26"/>
    </row>
    <row r="6" spans="1:12" ht="15.6" x14ac:dyDescent="0.3">
      <c r="A6" s="27"/>
      <c r="B6" s="28"/>
      <c r="C6" s="29"/>
      <c r="D6" s="30"/>
      <c r="E6" s="31"/>
      <c r="F6" s="96" t="s">
        <v>17</v>
      </c>
      <c r="G6" s="96"/>
      <c r="H6" s="32">
        <f>SUM(H4:H5)</f>
        <v>2137.5</v>
      </c>
      <c r="I6" s="33" t="s">
        <v>15</v>
      </c>
      <c r="J6" s="34"/>
      <c r="K6" s="35" t="str">
        <f>""</f>
        <v/>
      </c>
      <c r="L6" s="36"/>
    </row>
    <row r="7" spans="1:12" ht="28.8" x14ac:dyDescent="0.3">
      <c r="A7" s="37"/>
      <c r="B7" s="38"/>
      <c r="C7" s="39"/>
      <c r="D7" s="40"/>
      <c r="E7" s="97" t="s">
        <v>18</v>
      </c>
      <c r="F7" s="97"/>
      <c r="G7" s="97"/>
      <c r="H7" s="32">
        <f>ROUND(H6*0.0283,3)</f>
        <v>60.491</v>
      </c>
      <c r="I7" s="41" t="s">
        <v>19</v>
      </c>
      <c r="J7" s="34" t="s">
        <v>20</v>
      </c>
      <c r="K7" s="42">
        <f>IF(B3="4.14.1",_xlfn.IFS(J7="Labour Rate",20,J7="Machinery Rate",63,J7="Through Rate",83,TRUE,""),"")</f>
        <v>83</v>
      </c>
      <c r="L7" s="43">
        <f>IF(H7*K7&lt;&gt;0,H7*K7,0)</f>
        <v>5020.7529999999997</v>
      </c>
    </row>
    <row r="8" spans="1:12" ht="13.95" customHeight="1" x14ac:dyDescent="0.3">
      <c r="A8" s="44"/>
      <c r="B8" s="45"/>
      <c r="C8" s="46"/>
      <c r="D8" s="47"/>
      <c r="E8" s="48"/>
      <c r="F8" s="48"/>
      <c r="G8" s="48"/>
      <c r="H8" s="13"/>
      <c r="I8" s="49"/>
      <c r="J8" s="15"/>
      <c r="K8" s="16"/>
      <c r="L8" s="50"/>
    </row>
    <row r="9" spans="1:12" ht="39.6" x14ac:dyDescent="0.3">
      <c r="A9" s="8">
        <f>IFERROR(LOOKUP(2,1/(ISNUMBER($A$2:$A$8)),$A$2:$A$8),0)+1</f>
        <v>2</v>
      </c>
      <c r="B9" s="9" t="s">
        <v>21</v>
      </c>
      <c r="C9" s="10" t="s">
        <v>22</v>
      </c>
      <c r="D9" s="11"/>
      <c r="E9" s="12"/>
      <c r="F9" s="12"/>
      <c r="G9" s="12"/>
      <c r="H9" s="13"/>
      <c r="I9" s="14"/>
      <c r="J9" s="15"/>
      <c r="K9" s="16"/>
      <c r="L9" s="17"/>
    </row>
    <row r="10" spans="1:12" ht="15.6" x14ac:dyDescent="0.3">
      <c r="A10" s="8"/>
      <c r="B10" s="18"/>
      <c r="C10" s="19" t="s">
        <v>14</v>
      </c>
      <c r="D10" s="20">
        <v>2</v>
      </c>
      <c r="E10" s="21">
        <v>60</v>
      </c>
      <c r="F10" s="21">
        <v>5</v>
      </c>
      <c r="G10" s="21">
        <v>0.75</v>
      </c>
      <c r="H10" s="22">
        <f>D10*IF(OR(E10=0,E10="-"),1,E10)*IF(OR(F10=0,F10="-"),1,F10)*IF(OR(G10=0,G10="-"),1,G10)</f>
        <v>450</v>
      </c>
      <c r="I10" s="23" t="s">
        <v>15</v>
      </c>
      <c r="J10" s="24"/>
      <c r="K10" s="25"/>
      <c r="L10" s="26"/>
    </row>
    <row r="11" spans="1:12" ht="15.6" x14ac:dyDescent="0.3">
      <c r="A11" s="8"/>
      <c r="B11" s="18"/>
      <c r="C11" s="19" t="s">
        <v>16</v>
      </c>
      <c r="D11" s="20">
        <v>1</v>
      </c>
      <c r="E11" s="21">
        <v>50</v>
      </c>
      <c r="F11" s="21">
        <v>2.25</v>
      </c>
      <c r="G11" s="21">
        <v>0.5</v>
      </c>
      <c r="H11" s="22">
        <f>D11*IF(OR(E11=0,E11="-"),1,E11)*IF(OR(F11=0,F11="-"),1,F11)*IF(OR(G11=0,G11="-"),1,G11)</f>
        <v>56.25</v>
      </c>
      <c r="I11" s="23" t="s">
        <v>15</v>
      </c>
      <c r="J11" s="24"/>
      <c r="K11" s="25"/>
      <c r="L11" s="26"/>
    </row>
    <row r="12" spans="1:12" ht="15.6" x14ac:dyDescent="0.3">
      <c r="A12" s="27"/>
      <c r="B12" s="28"/>
      <c r="C12" s="29"/>
      <c r="D12" s="30"/>
      <c r="E12" s="31"/>
      <c r="F12" s="96" t="s">
        <v>17</v>
      </c>
      <c r="G12" s="96"/>
      <c r="H12" s="32">
        <f>SUM(H10:H11)</f>
        <v>506.25</v>
      </c>
      <c r="I12" s="33" t="s">
        <v>15</v>
      </c>
      <c r="J12" s="34"/>
      <c r="K12" s="35" t="str">
        <f>""</f>
        <v/>
      </c>
      <c r="L12" s="36"/>
    </row>
    <row r="13" spans="1:12" ht="28.8" x14ac:dyDescent="0.3">
      <c r="A13" s="37"/>
      <c r="B13" s="38"/>
      <c r="C13" s="39"/>
      <c r="D13" s="40"/>
      <c r="E13" s="97" t="s">
        <v>18</v>
      </c>
      <c r="F13" s="97"/>
      <c r="G13" s="97"/>
      <c r="H13" s="32">
        <f>ROUND(H12*0.0283,3)</f>
        <v>14.327</v>
      </c>
      <c r="I13" s="41" t="s">
        <v>19</v>
      </c>
      <c r="J13" s="34" t="s">
        <v>20</v>
      </c>
      <c r="K13" s="42">
        <f>IF(B9="10.100.2",_xlfn.IFS(J13="Labour Rate",274,J13="Material Rate",1588,J13="Through Rate",1863,TRUE,""),"")</f>
        <v>1863</v>
      </c>
      <c r="L13" s="43">
        <f>IF(H13*K13&lt;&gt;0,H13*K13,0)</f>
        <v>26691.201000000001</v>
      </c>
    </row>
    <row r="14" spans="1:12" ht="13.95" customHeight="1" x14ac:dyDescent="0.3">
      <c r="A14" s="44"/>
      <c r="B14" s="45"/>
      <c r="C14" s="46"/>
      <c r="D14" s="47"/>
      <c r="E14" s="48"/>
      <c r="F14" s="48"/>
      <c r="G14" s="48"/>
      <c r="H14" s="13"/>
      <c r="I14" s="49"/>
      <c r="J14" s="15"/>
      <c r="K14" s="16"/>
      <c r="L14" s="50"/>
    </row>
    <row r="15" spans="1:12" ht="39.6" x14ac:dyDescent="0.3">
      <c r="A15" s="8">
        <f>IFERROR(LOOKUP(2,1/(ISNUMBER($A$2:$A$14)),$A$2:$A$14),0)+1</f>
        <v>3</v>
      </c>
      <c r="B15" s="9" t="s">
        <v>23</v>
      </c>
      <c r="C15" s="10" t="s">
        <v>24</v>
      </c>
      <c r="D15" s="11"/>
      <c r="E15" s="12"/>
      <c r="F15" s="12"/>
      <c r="G15" s="12"/>
      <c r="H15" s="13"/>
      <c r="I15" s="14"/>
      <c r="J15" s="15"/>
      <c r="K15" s="16"/>
      <c r="L15" s="17"/>
    </row>
    <row r="16" spans="1:12" ht="15.6" x14ac:dyDescent="0.3">
      <c r="A16" s="8"/>
      <c r="B16" s="18"/>
      <c r="C16" s="19" t="s">
        <v>14</v>
      </c>
      <c r="D16" s="20">
        <v>2</v>
      </c>
      <c r="E16" s="21">
        <v>60</v>
      </c>
      <c r="F16" s="21">
        <v>4.125</v>
      </c>
      <c r="G16" s="21">
        <v>0.5</v>
      </c>
      <c r="H16" s="22">
        <f t="shared" ref="H16:H26" si="0">D16*IF(OR(E16=0,E16="-"),1,E16)*IF(OR(F16=0,F16="-"),1,F16)*IF(OR(G16=0,G16="-"),1,G16)</f>
        <v>247.5</v>
      </c>
      <c r="I16" s="23" t="s">
        <v>15</v>
      </c>
      <c r="J16" s="24"/>
      <c r="K16" s="25"/>
      <c r="L16" s="26"/>
    </row>
    <row r="17" spans="1:12" ht="15.6" x14ac:dyDescent="0.3">
      <c r="A17" s="8"/>
      <c r="B17" s="18"/>
      <c r="C17" s="19"/>
      <c r="D17" s="20">
        <v>2</v>
      </c>
      <c r="E17" s="21">
        <v>60</v>
      </c>
      <c r="F17" s="21">
        <v>3.75</v>
      </c>
      <c r="G17" s="21">
        <v>0.5</v>
      </c>
      <c r="H17" s="22">
        <f t="shared" si="0"/>
        <v>225</v>
      </c>
      <c r="I17" s="23" t="s">
        <v>15</v>
      </c>
      <c r="J17" s="24"/>
      <c r="K17" s="25"/>
      <c r="L17" s="26"/>
    </row>
    <row r="18" spans="1:12" ht="15.6" x14ac:dyDescent="0.3">
      <c r="A18" s="8"/>
      <c r="B18" s="18"/>
      <c r="C18" s="19"/>
      <c r="D18" s="20">
        <v>2</v>
      </c>
      <c r="E18" s="21">
        <v>60</v>
      </c>
      <c r="F18" s="21">
        <v>3.375</v>
      </c>
      <c r="G18" s="21">
        <v>0.5</v>
      </c>
      <c r="H18" s="22">
        <f t="shared" si="0"/>
        <v>202.5</v>
      </c>
      <c r="I18" s="23" t="s">
        <v>15</v>
      </c>
      <c r="J18" s="24"/>
      <c r="K18" s="25"/>
      <c r="L18" s="26"/>
    </row>
    <row r="19" spans="1:12" ht="15.6" x14ac:dyDescent="0.3">
      <c r="A19" s="8"/>
      <c r="B19" s="18"/>
      <c r="C19" s="19"/>
      <c r="D19" s="20">
        <v>2</v>
      </c>
      <c r="E19" s="21">
        <v>60</v>
      </c>
      <c r="F19" s="21">
        <v>3</v>
      </c>
      <c r="G19" s="21">
        <v>0.5</v>
      </c>
      <c r="H19" s="22">
        <f t="shared" si="0"/>
        <v>180</v>
      </c>
      <c r="I19" s="23" t="s">
        <v>15</v>
      </c>
      <c r="J19" s="24"/>
      <c r="K19" s="25"/>
      <c r="L19" s="26"/>
    </row>
    <row r="20" spans="1:12" ht="15.6" x14ac:dyDescent="0.3">
      <c r="A20" s="8"/>
      <c r="B20" s="18"/>
      <c r="C20" s="19"/>
      <c r="D20" s="20">
        <v>2</v>
      </c>
      <c r="E20" s="21">
        <v>60</v>
      </c>
      <c r="F20" s="21">
        <v>2.625</v>
      </c>
      <c r="G20" s="21">
        <v>0.5</v>
      </c>
      <c r="H20" s="22">
        <f t="shared" si="0"/>
        <v>157.5</v>
      </c>
      <c r="I20" s="23" t="s">
        <v>15</v>
      </c>
      <c r="J20" s="24"/>
      <c r="K20" s="25"/>
      <c r="L20" s="26"/>
    </row>
    <row r="21" spans="1:12" ht="15.6" x14ac:dyDescent="0.3">
      <c r="A21" s="8"/>
      <c r="B21" s="18"/>
      <c r="C21" s="19"/>
      <c r="D21" s="20">
        <v>2</v>
      </c>
      <c r="E21" s="21">
        <v>60</v>
      </c>
      <c r="F21" s="21">
        <v>2.25</v>
      </c>
      <c r="G21" s="21">
        <v>0.5</v>
      </c>
      <c r="H21" s="22">
        <f t="shared" si="0"/>
        <v>135</v>
      </c>
      <c r="I21" s="23" t="s">
        <v>15</v>
      </c>
      <c r="J21" s="24"/>
      <c r="K21" s="25"/>
      <c r="L21" s="26"/>
    </row>
    <row r="22" spans="1:12" ht="15.6" x14ac:dyDescent="0.3">
      <c r="A22" s="8"/>
      <c r="B22" s="18"/>
      <c r="C22" s="19"/>
      <c r="D22" s="20">
        <v>2</v>
      </c>
      <c r="E22" s="21">
        <v>60</v>
      </c>
      <c r="F22" s="21">
        <v>1.875</v>
      </c>
      <c r="G22" s="21">
        <v>0.5</v>
      </c>
      <c r="H22" s="22">
        <f t="shared" si="0"/>
        <v>112.5</v>
      </c>
      <c r="I22" s="23" t="s">
        <v>15</v>
      </c>
      <c r="J22" s="24"/>
      <c r="K22" s="25"/>
      <c r="L22" s="26"/>
    </row>
    <row r="23" spans="1:12" ht="15.6" x14ac:dyDescent="0.3">
      <c r="A23" s="8"/>
      <c r="B23" s="18"/>
      <c r="C23" s="19"/>
      <c r="D23" s="20">
        <v>2</v>
      </c>
      <c r="E23" s="21">
        <v>60</v>
      </c>
      <c r="F23" s="21">
        <v>1.5</v>
      </c>
      <c r="G23" s="21">
        <v>2.5</v>
      </c>
      <c r="H23" s="22">
        <f t="shared" si="0"/>
        <v>450</v>
      </c>
      <c r="I23" s="23" t="s">
        <v>15</v>
      </c>
      <c r="J23" s="24"/>
      <c r="K23" s="25"/>
      <c r="L23" s="26"/>
    </row>
    <row r="24" spans="1:12" ht="15.6" x14ac:dyDescent="0.3">
      <c r="A24" s="8"/>
      <c r="B24" s="18"/>
      <c r="C24" s="19" t="s">
        <v>16</v>
      </c>
      <c r="D24" s="20">
        <v>1</v>
      </c>
      <c r="E24" s="21">
        <v>50</v>
      </c>
      <c r="F24" s="21">
        <v>1.875</v>
      </c>
      <c r="G24" s="21">
        <v>0.5</v>
      </c>
      <c r="H24" s="22">
        <f t="shared" si="0"/>
        <v>46.875</v>
      </c>
      <c r="I24" s="23" t="s">
        <v>15</v>
      </c>
      <c r="J24" s="24"/>
      <c r="K24" s="25"/>
      <c r="L24" s="26"/>
    </row>
    <row r="25" spans="1:12" ht="15.6" x14ac:dyDescent="0.3">
      <c r="A25" s="8"/>
      <c r="B25" s="18"/>
      <c r="C25" s="19"/>
      <c r="D25" s="20">
        <v>1</v>
      </c>
      <c r="E25" s="21">
        <v>50</v>
      </c>
      <c r="F25" s="21">
        <v>1.5</v>
      </c>
      <c r="G25" s="21">
        <v>0.5</v>
      </c>
      <c r="H25" s="22">
        <f t="shared" si="0"/>
        <v>37.5</v>
      </c>
      <c r="I25" s="23" t="s">
        <v>15</v>
      </c>
      <c r="J25" s="24"/>
      <c r="K25" s="25"/>
      <c r="L25" s="26"/>
    </row>
    <row r="26" spans="1:12" ht="15.6" x14ac:dyDescent="0.3">
      <c r="A26" s="8"/>
      <c r="B26" s="18"/>
      <c r="C26" s="19"/>
      <c r="D26" s="20">
        <v>1</v>
      </c>
      <c r="E26" s="21">
        <v>50</v>
      </c>
      <c r="F26" s="21">
        <v>1.125</v>
      </c>
      <c r="G26" s="21">
        <v>1.5</v>
      </c>
      <c r="H26" s="22">
        <f t="shared" si="0"/>
        <v>84.375</v>
      </c>
      <c r="I26" s="23" t="s">
        <v>15</v>
      </c>
      <c r="J26" s="24"/>
      <c r="K26" s="25"/>
      <c r="L26" s="26"/>
    </row>
    <row r="27" spans="1:12" ht="15.6" x14ac:dyDescent="0.3">
      <c r="A27" s="27"/>
      <c r="B27" s="28"/>
      <c r="C27" s="29"/>
      <c r="D27" s="30"/>
      <c r="E27" s="31"/>
      <c r="F27" s="96" t="s">
        <v>17</v>
      </c>
      <c r="G27" s="96"/>
      <c r="H27" s="32">
        <f>SUM(H16:H26)</f>
        <v>1878.75</v>
      </c>
      <c r="I27" s="33" t="s">
        <v>15</v>
      </c>
      <c r="J27" s="34"/>
      <c r="K27" s="35" t="str">
        <f>""</f>
        <v/>
      </c>
      <c r="L27" s="36"/>
    </row>
    <row r="28" spans="1:12" ht="28.8" x14ac:dyDescent="0.3">
      <c r="A28" s="37"/>
      <c r="B28" s="38"/>
      <c r="C28" s="39"/>
      <c r="D28" s="40"/>
      <c r="E28" s="97" t="s">
        <v>18</v>
      </c>
      <c r="F28" s="97"/>
      <c r="G28" s="97"/>
      <c r="H28" s="32">
        <f>ROUND(H27*0.0283,3)</f>
        <v>53.168999999999997</v>
      </c>
      <c r="I28" s="41" t="s">
        <v>19</v>
      </c>
      <c r="J28" s="34" t="s">
        <v>25</v>
      </c>
      <c r="K28" s="42">
        <f>IF(B15="7.21.2",_xlfn.IFS(J28="Labour Rate Amnd",823,J28="Material Rate Amnd",3144,J28="Through Rate Amnd",3968,J28="Labour Rate",387,J28="Material Rate",3144,J28="Through Rate",3531,TRUE,""),"")</f>
        <v>3968</v>
      </c>
      <c r="L28" s="43">
        <f>IF(H28*K28&lt;&gt;0,H28*K28,0)</f>
        <v>210974.59199999998</v>
      </c>
    </row>
    <row r="29" spans="1:12" ht="13.95" customHeight="1" x14ac:dyDescent="0.3">
      <c r="A29" s="44"/>
      <c r="B29" s="45"/>
      <c r="C29" s="46"/>
      <c r="D29" s="47"/>
      <c r="E29" s="48"/>
      <c r="F29" s="48"/>
      <c r="G29" s="48"/>
      <c r="H29" s="13"/>
      <c r="I29" s="49"/>
      <c r="J29" s="15"/>
      <c r="K29" s="16"/>
      <c r="L29" s="50"/>
    </row>
    <row r="30" spans="1:12" ht="67.2" x14ac:dyDescent="0.3">
      <c r="A30" s="8">
        <f>IFERROR(LOOKUP(2,1/(ISNUMBER($A$2:$A$29)),$A$2:$A$29),0)+1</f>
        <v>4</v>
      </c>
      <c r="B30" s="9" t="s">
        <v>26</v>
      </c>
      <c r="C30" s="10" t="s">
        <v>27</v>
      </c>
      <c r="D30" s="11"/>
      <c r="E30" s="12"/>
      <c r="F30" s="12"/>
      <c r="G30" s="12"/>
      <c r="H30" s="13"/>
      <c r="I30" s="14"/>
      <c r="J30" s="15"/>
      <c r="K30" s="16"/>
      <c r="L30" s="17"/>
    </row>
    <row r="31" spans="1:12" ht="15.6" x14ac:dyDescent="0.3">
      <c r="A31" s="8"/>
      <c r="B31" s="18"/>
      <c r="C31" s="19"/>
      <c r="D31" s="20">
        <v>1</v>
      </c>
      <c r="E31" s="21">
        <v>60</v>
      </c>
      <c r="F31" s="21">
        <v>50</v>
      </c>
      <c r="G31" s="21"/>
      <c r="H31" s="22">
        <f>D31*IF(OR(E31=0,E31="-"),1,E31)*IF(OR(F31=0,F31="-"),1,F31)*IF(OR(G31=0,G31="-"),1,G31)</f>
        <v>3000</v>
      </c>
      <c r="I31" s="23" t="s">
        <v>28</v>
      </c>
      <c r="J31" s="24"/>
      <c r="K31" s="25"/>
      <c r="L31" s="26"/>
    </row>
    <row r="32" spans="1:12" ht="17.399999999999999" x14ac:dyDescent="0.3">
      <c r="A32" s="27"/>
      <c r="B32" s="28"/>
      <c r="C32" s="29"/>
      <c r="D32" s="28"/>
      <c r="E32" s="29"/>
      <c r="F32" s="94" t="s">
        <v>29</v>
      </c>
      <c r="G32" s="94"/>
      <c r="H32" s="32">
        <f>SUM(H31:H31)</f>
        <v>3000</v>
      </c>
      <c r="I32" s="33" t="s">
        <v>28</v>
      </c>
      <c r="J32" s="51"/>
      <c r="K32" s="52" t="str">
        <f>""</f>
        <v/>
      </c>
      <c r="L32" s="53"/>
    </row>
    <row r="33" spans="1:12" ht="28.8" x14ac:dyDescent="0.3">
      <c r="A33" s="37"/>
      <c r="B33" s="38"/>
      <c r="C33" s="39"/>
      <c r="D33" s="38"/>
      <c r="E33" s="95" t="s">
        <v>30</v>
      </c>
      <c r="F33" s="95"/>
      <c r="G33" s="95"/>
      <c r="H33" s="32">
        <f>ROUND(H32*0.0929,3)</f>
        <v>278.7</v>
      </c>
      <c r="I33" s="41" t="s">
        <v>31</v>
      </c>
      <c r="J33" s="51" t="s">
        <v>20</v>
      </c>
      <c r="K33" s="54">
        <f>IF(B30="10.33.2",_xlfn.IFS(J33="Labour Rate",115,J33="Material Rate",433,J33="Through Rate",549,TRUE,""),"")</f>
        <v>549</v>
      </c>
      <c r="L33" s="55">
        <f>IF(H33*K33&lt;&gt;0,H33*K33,0)</f>
        <v>153006.29999999999</v>
      </c>
    </row>
    <row r="34" spans="1:12" ht="13.95" customHeight="1" x14ac:dyDescent="0.3">
      <c r="A34" s="44"/>
      <c r="B34" s="45"/>
      <c r="C34" s="46"/>
      <c r="D34" s="56"/>
      <c r="E34" s="46"/>
      <c r="F34" s="46"/>
      <c r="G34" s="46"/>
      <c r="H34" s="57"/>
      <c r="I34" s="49"/>
      <c r="J34" s="58"/>
      <c r="K34" s="59"/>
      <c r="L34" s="60"/>
    </row>
    <row r="35" spans="1:12" ht="27.6" x14ac:dyDescent="0.3">
      <c r="A35" s="8">
        <f>IFERROR(LOOKUP(2,1/(ISNUMBER($A$2:$A$34)),$A$2:$A$34),0)+1</f>
        <v>5</v>
      </c>
      <c r="B35" s="9" t="s">
        <v>32</v>
      </c>
      <c r="C35" s="10" t="s">
        <v>33</v>
      </c>
      <c r="D35" s="61"/>
      <c r="E35" s="62"/>
      <c r="F35" s="62"/>
      <c r="G35" s="62"/>
      <c r="H35" s="57"/>
      <c r="I35" s="14"/>
      <c r="J35" s="15"/>
      <c r="K35" s="63"/>
      <c r="L35" s="64"/>
    </row>
    <row r="36" spans="1:12" ht="13.95" customHeight="1" x14ac:dyDescent="0.3">
      <c r="A36" s="8"/>
      <c r="B36" s="18"/>
      <c r="C36" s="19"/>
      <c r="D36" s="65">
        <v>2</v>
      </c>
      <c r="E36" s="19">
        <v>60</v>
      </c>
      <c r="F36" s="19">
        <v>1.5</v>
      </c>
      <c r="G36" s="19"/>
      <c r="H36" s="22">
        <f>D36*IF(OR(E36=0,E36="-"),1,E36)*IF(OR(F36=0,F36="-"),1,F36)*IF(OR(G36=0,G36="-"),1,G36)</f>
        <v>180</v>
      </c>
      <c r="I36" s="23" t="s">
        <v>28</v>
      </c>
      <c r="J36" s="24"/>
      <c r="K36" s="66"/>
      <c r="L36" s="67"/>
    </row>
    <row r="37" spans="1:12" ht="13.95" customHeight="1" x14ac:dyDescent="0.3">
      <c r="A37" s="8"/>
      <c r="B37" s="18"/>
      <c r="C37" s="19"/>
      <c r="D37" s="65">
        <v>1</v>
      </c>
      <c r="E37" s="19">
        <v>50</v>
      </c>
      <c r="F37" s="19">
        <v>1.125</v>
      </c>
      <c r="G37" s="19"/>
      <c r="H37" s="22">
        <f>D37*IF(OR(E37=0,E37="-"),1,E37)*IF(OR(F37=0,F37="-"),1,F37)*IF(OR(G37=0,G37="-"),1,G37)</f>
        <v>56.25</v>
      </c>
      <c r="I37" s="23" t="s">
        <v>28</v>
      </c>
      <c r="J37" s="24"/>
      <c r="K37" s="66"/>
      <c r="L37" s="67"/>
    </row>
    <row r="38" spans="1:12" ht="13.95" customHeight="1" x14ac:dyDescent="0.3">
      <c r="A38" s="27"/>
      <c r="B38" s="28"/>
      <c r="C38" s="29"/>
      <c r="D38" s="28"/>
      <c r="E38" s="29"/>
      <c r="F38" s="94" t="s">
        <v>29</v>
      </c>
      <c r="G38" s="94"/>
      <c r="H38" s="32">
        <f>SUM(H36:H37)</f>
        <v>236.25</v>
      </c>
      <c r="I38" s="33" t="s">
        <v>28</v>
      </c>
      <c r="J38" s="34"/>
      <c r="K38" s="35" t="str">
        <f>""</f>
        <v/>
      </c>
      <c r="L38" s="68"/>
    </row>
    <row r="39" spans="1:12" s="71" customFormat="1" ht="28.8" x14ac:dyDescent="0.3">
      <c r="A39" s="69" t="s">
        <v>34</v>
      </c>
      <c r="B39" s="38"/>
      <c r="C39" s="39"/>
      <c r="D39" s="38"/>
      <c r="E39" s="95" t="s">
        <v>30</v>
      </c>
      <c r="F39" s="95"/>
      <c r="G39" s="95"/>
      <c r="H39" s="32">
        <f>ROUND(H38*0.0929,3)</f>
        <v>21.948</v>
      </c>
      <c r="I39" s="41" t="s">
        <v>31</v>
      </c>
      <c r="J39" s="34" t="s">
        <v>20</v>
      </c>
      <c r="K39" s="70">
        <f>IF(B35="10.7",_xlfn.IFS(J39="Labour Rate",77,J39="Material Rate",139,J39="Through Rate",216,TRUE,""),"")</f>
        <v>216</v>
      </c>
      <c r="L39" s="43">
        <f>IF(H39*K39&lt;&gt;0,H39*K39,0)</f>
        <v>4740.768</v>
      </c>
    </row>
    <row r="40" spans="1:12" ht="13.95" customHeight="1" thickBot="1" x14ac:dyDescent="0.35">
      <c r="A40" s="72"/>
      <c r="B40" s="73"/>
      <c r="C40" s="74"/>
      <c r="D40" s="75"/>
      <c r="E40" s="74"/>
      <c r="F40" s="74"/>
      <c r="G40" s="74"/>
      <c r="H40" s="75"/>
      <c r="I40" s="74"/>
      <c r="J40" s="74"/>
      <c r="K40" s="74"/>
      <c r="L40" s="76"/>
    </row>
    <row r="41" spans="1:12" ht="15" thickTop="1" x14ac:dyDescent="0.3">
      <c r="H41"/>
      <c r="I41"/>
      <c r="J41" s="79" t="s">
        <v>35</v>
      </c>
      <c r="K41" s="80"/>
      <c r="L41" s="81">
        <f>SUM(L3:INDEX(L:L,ROW()-1))</f>
        <v>400433.61399999994</v>
      </c>
    </row>
    <row r="42" spans="1:12" x14ac:dyDescent="0.3">
      <c r="H42"/>
      <c r="I42"/>
      <c r="J42" s="82" t="s">
        <v>36</v>
      </c>
      <c r="K42" s="83"/>
      <c r="L42" s="84">
        <f>$L$41*0.18</f>
        <v>72078.05051999999</v>
      </c>
    </row>
    <row r="43" spans="1:12" x14ac:dyDescent="0.3">
      <c r="H43"/>
      <c r="I43"/>
      <c r="J43" s="82" t="s">
        <v>37</v>
      </c>
      <c r="K43" s="83"/>
      <c r="L43" s="84">
        <f>$L$41+$L$42</f>
        <v>472511.66451999993</v>
      </c>
    </row>
    <row r="44" spans="1:12" x14ac:dyDescent="0.3">
      <c r="H44"/>
      <c r="I44"/>
      <c r="J44" s="82" t="s">
        <v>38</v>
      </c>
      <c r="K44" s="83"/>
      <c r="L44" s="84">
        <f>$L$43*0.01</f>
        <v>4725.1166451999998</v>
      </c>
    </row>
    <row r="45" spans="1:12" ht="15" thickBot="1" x14ac:dyDescent="0.35">
      <c r="H45"/>
      <c r="I45"/>
      <c r="J45" s="85" t="s">
        <v>39</v>
      </c>
      <c r="K45" s="86"/>
      <c r="L45" s="87">
        <f>$L$43+$L$44</f>
        <v>477236.78116519994</v>
      </c>
    </row>
    <row r="46" spans="1:12" ht="15" thickTop="1" x14ac:dyDescent="0.3">
      <c r="H46"/>
      <c r="I46"/>
      <c r="J46" s="88" t="s">
        <v>40</v>
      </c>
      <c r="K46" s="89"/>
      <c r="L46" s="78"/>
    </row>
    <row r="47" spans="1:12" ht="36" x14ac:dyDescent="0.3">
      <c r="H47"/>
      <c r="I47" s="90" t="s">
        <v>41</v>
      </c>
      <c r="J47" s="91" t="str">
        <f>IF(L45&gt;=10000000,ROUND(L45/10000000,2)&amp;" Crore",IF(L45&gt;=100000,ROUND(L45/100000,2)&amp;" Lakh",IF(L45&gt;=1000,ROUND(L45/1000,2)&amp;" Thousand",ROUND(L45,0)))) &amp; " Only"</f>
        <v>4.77 Lakh Only</v>
      </c>
      <c r="K47" s="92"/>
      <c r="L47" s="92"/>
    </row>
    <row r="48" spans="1:12" x14ac:dyDescent="0.3"/>
    <row r="49" x14ac:dyDescent="0.3"/>
    <row r="50" x14ac:dyDescent="0.3"/>
  </sheetData>
  <mergeCells count="10">
    <mergeCell ref="F32:G32"/>
    <mergeCell ref="E33:G33"/>
    <mergeCell ref="F38:G38"/>
    <mergeCell ref="E39:G39"/>
    <mergeCell ref="F6:G6"/>
    <mergeCell ref="E7:G7"/>
    <mergeCell ref="F12:G12"/>
    <mergeCell ref="E13:G13"/>
    <mergeCell ref="F27:G27"/>
    <mergeCell ref="E28:G28"/>
  </mergeCells>
  <conditionalFormatting sqref="K6">
    <cfRule type="expression" dxfId="4" priority="5" stopIfTrue="1">
      <formula>AND(ISNUMBER(K6),K6&lt;&gt;0)</formula>
    </cfRule>
  </conditionalFormatting>
  <conditionalFormatting sqref="K12">
    <cfRule type="expression" dxfId="3" priority="4" stopIfTrue="1">
      <formula>AND(ISNUMBER(K12),K12&lt;&gt;0)</formula>
    </cfRule>
  </conditionalFormatting>
  <conditionalFormatting sqref="K27">
    <cfRule type="expression" dxfId="2" priority="3" stopIfTrue="1">
      <formula>AND(ISNUMBER(K27),K27&lt;&gt;0)</formula>
    </cfRule>
  </conditionalFormatting>
  <conditionalFormatting sqref="K32">
    <cfRule type="expression" dxfId="1" priority="2" stopIfTrue="1">
      <formula>AND(ISNUMBER(K32),K32&lt;&gt;0)</formula>
    </cfRule>
  </conditionalFormatting>
  <conditionalFormatting sqref="K38">
    <cfRule type="expression" dxfId="0" priority="1" stopIfTrue="1">
      <formula>AND(ISNUMBER(K38),K38&lt;&gt;0)</formula>
    </cfRule>
  </conditionalFormatting>
  <dataValidations count="3">
    <dataValidation type="list" allowBlank="1" showInputMessage="1" showErrorMessage="1" sqref="J7" xr:uid="{93C5E1FE-BB54-4528-B0BA-096E766A392B}">
      <formula1>"Through Rate,Labour Rate,Machinery Rate"</formula1>
    </dataValidation>
    <dataValidation type="list" allowBlank="1" showInputMessage="1" showErrorMessage="1" sqref="J28" xr:uid="{C64F5724-CE0B-41BC-B38D-9323E2FCEE07}">
      <formula1>"Through Rate Amnd,Through Rate,Material Rate Amnd,Material Rate,Labour Rate Amnd,Labour Rate"</formula1>
    </dataValidation>
    <dataValidation type="list" allowBlank="1" showInputMessage="1" showErrorMessage="1" sqref="J33 J39 J13" xr:uid="{16417FE6-BEB5-4928-B47E-89F5F9EF5611}">
      <formula1>"Through Rate,Material Rate,Labour Rate"</formula1>
    </dataValidation>
  </dataValidations>
  <pageMargins left="0.7" right="0.7" top="0.75" bottom="0.75" header="0.3" footer="0.3"/>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CATTLE GHAT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Devanshi Rani</dc:creator>
  <cp:lastModifiedBy>GarG BroThers</cp:lastModifiedBy>
  <dcterms:created xsi:type="dcterms:W3CDTF">2026-01-15T05:32:15Z</dcterms:created>
  <dcterms:modified xsi:type="dcterms:W3CDTF">2026-01-15T16:46:40Z</dcterms:modified>
</cp:coreProperties>
</file>